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 Plus Form 2B" sheetId="1" r:id="rId5"/>
  </sheets>
  <definedNames/>
  <calcPr/>
</workbook>
</file>

<file path=xl/sharedStrings.xml><?xml version="1.0" encoding="utf-8"?>
<sst xmlns="http://schemas.openxmlformats.org/spreadsheetml/2006/main" count="130" uniqueCount="97">
  <si>
    <t>Republic of the Philippines</t>
  </si>
  <si>
    <t>Department of Health</t>
  </si>
  <si>
    <t>NATIONAL NUTRITION COUNCIL</t>
  </si>
  <si>
    <t>OPT Plus Form 2B.  Summary Sheet of the Nutritional Status of 0-59 Month-Old Children in a Municipality or City</t>
  </si>
  <si>
    <t>OPT Plus Coverage:</t>
  </si>
  <si>
    <t>Total # Indigenous Preschool Children Measured:</t>
  </si>
  <si>
    <t>Total Population in</t>
  </si>
  <si>
    <t xml:space="preserve">Source: </t>
  </si>
  <si>
    <t>DOH - EB 2025</t>
  </si>
  <si>
    <t>0-59 mos:</t>
  </si>
  <si>
    <t>OPT PLUS</t>
  </si>
  <si>
    <t>Population of 0-59 months old in</t>
  </si>
  <si>
    <t>Population of 6-59 months old in</t>
  </si>
  <si>
    <t>PSGC:</t>
  </si>
  <si>
    <t>Prevalence Rate MW/MAM &amp; SW/SAM (Last OPT Plus):</t>
  </si>
  <si>
    <t>Total Boys:</t>
  </si>
  <si>
    <t>Total Girls:</t>
  </si>
  <si>
    <t>Total MUAC:</t>
  </si>
  <si>
    <t>Total WFA:</t>
  </si>
  <si>
    <t>Total HFA:</t>
  </si>
  <si>
    <t>Total WFL/H:</t>
  </si>
  <si>
    <t>Birth to 5 Years</t>
  </si>
  <si>
    <t>F1K</t>
  </si>
  <si>
    <t># IP Children</t>
  </si>
  <si>
    <t>0-5 Months</t>
  </si>
  <si>
    <t>6-11 Months</t>
  </si>
  <si>
    <t>12-23 Months</t>
  </si>
  <si>
    <t>24-35 Months</t>
  </si>
  <si>
    <t>36-47 Months</t>
  </si>
  <si>
    <t>48-59 Months</t>
  </si>
  <si>
    <t>0-59 Months</t>
  </si>
  <si>
    <t>0-23 Months</t>
  </si>
  <si>
    <t>Boys</t>
  </si>
  <si>
    <t>Girls</t>
  </si>
  <si>
    <t>Total</t>
  </si>
  <si>
    <t>Prev</t>
  </si>
  <si>
    <r>
      <rPr>
        <rFont val="Calibri"/>
        <b/>
        <color theme="1"/>
        <sz val="10.0"/>
      </rPr>
      <t xml:space="preserve">WFA - </t>
    </r>
    <r>
      <rPr>
        <rFont val="Calibri"/>
        <b val="0"/>
        <color theme="1"/>
        <sz val="10.0"/>
      </rPr>
      <t>Normal</t>
    </r>
  </si>
  <si>
    <r>
      <rPr>
        <rFont val="Calibri"/>
        <b/>
        <color theme="1"/>
        <sz val="10.0"/>
      </rPr>
      <t xml:space="preserve">WFA </t>
    </r>
    <r>
      <rPr>
        <rFont val="Calibri"/>
        <b val="0"/>
        <color theme="1"/>
        <sz val="10.0"/>
      </rPr>
      <t>- Ob</t>
    </r>
  </si>
  <si>
    <r>
      <rPr>
        <rFont val="Calibri"/>
        <b/>
        <color theme="1"/>
        <sz val="10.0"/>
      </rPr>
      <t xml:space="preserve">WFA - </t>
    </r>
    <r>
      <rPr>
        <rFont val="Calibri"/>
        <b val="0"/>
        <color theme="1"/>
        <sz val="10.0"/>
      </rPr>
      <t>OW</t>
    </r>
  </si>
  <si>
    <t>IPs:</t>
  </si>
  <si>
    <t>WFA:</t>
  </si>
  <si>
    <t>M</t>
  </si>
  <si>
    <t>F</t>
  </si>
  <si>
    <r>
      <rPr>
        <rFont val="Calibri"/>
        <b/>
        <color theme="1"/>
        <sz val="10.0"/>
      </rPr>
      <t xml:space="preserve">WFA - </t>
    </r>
    <r>
      <rPr>
        <rFont val="Calibri"/>
        <b val="0"/>
        <color theme="1"/>
        <sz val="10.0"/>
      </rPr>
      <t>MUW</t>
    </r>
  </si>
  <si>
    <t>HFA</t>
  </si>
  <si>
    <r>
      <rPr>
        <rFont val="Calibri"/>
        <b/>
        <color theme="1"/>
        <sz val="10.0"/>
      </rPr>
      <t xml:space="preserve">WFA - </t>
    </r>
    <r>
      <rPr>
        <rFont val="Calibri"/>
        <b val="0"/>
        <color theme="1"/>
        <sz val="10.0"/>
      </rPr>
      <t>SUW</t>
    </r>
  </si>
  <si>
    <t>WFL/H</t>
  </si>
  <si>
    <r>
      <rPr>
        <rFont val="Calibri"/>
        <b/>
        <color theme="1"/>
        <sz val="10.0"/>
      </rPr>
      <t xml:space="preserve">L/HFA - </t>
    </r>
    <r>
      <rPr>
        <rFont val="Calibri"/>
        <b val="0"/>
        <color theme="1"/>
        <sz val="10.0"/>
      </rPr>
      <t>Normal</t>
    </r>
  </si>
  <si>
    <t>MUAC:</t>
  </si>
  <si>
    <r>
      <rPr>
        <rFont val="Calibri"/>
        <b/>
        <color theme="1"/>
        <sz val="10.0"/>
      </rPr>
      <t>L/HFA -</t>
    </r>
    <r>
      <rPr>
        <rFont val="Calibri"/>
        <b val="0"/>
        <color theme="1"/>
        <sz val="10.0"/>
      </rPr>
      <t xml:space="preserve"> Tall</t>
    </r>
  </si>
  <si>
    <r>
      <rPr>
        <rFont val="Calibri"/>
        <b/>
        <color theme="1"/>
        <sz val="10.0"/>
      </rPr>
      <t xml:space="preserve">L/HFA - </t>
    </r>
    <r>
      <rPr>
        <rFont val="Calibri"/>
        <b val="0"/>
        <color theme="1"/>
        <sz val="10.0"/>
      </rPr>
      <t>MSt</t>
    </r>
  </si>
  <si>
    <r>
      <rPr>
        <rFont val="Calibri"/>
        <b/>
        <color theme="1"/>
        <sz val="10.0"/>
      </rPr>
      <t>L/HFA -</t>
    </r>
    <r>
      <rPr>
        <rFont val="Calibri"/>
        <b val="0"/>
        <color theme="1"/>
        <sz val="10.0"/>
      </rPr>
      <t xml:space="preserve"> SSt</t>
    </r>
  </si>
  <si>
    <r>
      <rPr>
        <rFont val="Calibri"/>
        <b/>
        <color theme="1"/>
        <sz val="10.0"/>
      </rPr>
      <t xml:space="preserve">WFL/H - </t>
    </r>
    <r>
      <rPr>
        <rFont val="Calibri"/>
        <b val="0"/>
        <color theme="1"/>
        <sz val="10.0"/>
      </rPr>
      <t>Normal</t>
    </r>
  </si>
  <si>
    <r>
      <rPr>
        <rFont val="Calibri"/>
        <b/>
        <color theme="1"/>
        <sz val="10.0"/>
      </rPr>
      <t xml:space="preserve">WFL/H - </t>
    </r>
    <r>
      <rPr>
        <rFont val="Calibri"/>
        <b val="0"/>
        <color theme="1"/>
        <sz val="10.0"/>
      </rPr>
      <t>OW</t>
    </r>
  </si>
  <si>
    <r>
      <rPr>
        <rFont val="Calibri"/>
        <b/>
        <color theme="1"/>
        <sz val="10.0"/>
      </rPr>
      <t xml:space="preserve">WFL/H - </t>
    </r>
    <r>
      <rPr>
        <rFont val="Calibri"/>
        <b val="0"/>
        <color theme="1"/>
        <sz val="10.0"/>
      </rPr>
      <t>Ob</t>
    </r>
  </si>
  <si>
    <r>
      <rPr>
        <rFont val="Calibri"/>
        <b/>
        <color theme="1"/>
        <sz val="10.0"/>
      </rPr>
      <t xml:space="preserve">WFL/H - </t>
    </r>
    <r>
      <rPr>
        <rFont val="Calibri"/>
        <b val="0"/>
        <color theme="1"/>
        <sz val="10.0"/>
      </rPr>
      <t>MW/MAM</t>
    </r>
  </si>
  <si>
    <r>
      <rPr>
        <rFont val="Calibri"/>
        <b/>
        <color theme="1"/>
        <sz val="10.0"/>
      </rPr>
      <t xml:space="preserve">WFL/H - </t>
    </r>
    <r>
      <rPr>
        <rFont val="Calibri"/>
        <b val="0"/>
        <color theme="1"/>
        <sz val="10.0"/>
      </rPr>
      <t>SW/SAM</t>
    </r>
  </si>
  <si>
    <r>
      <rPr>
        <rFont val="Calibri"/>
        <b/>
        <color theme="1"/>
        <sz val="10.0"/>
      </rPr>
      <t xml:space="preserve">MUAC </t>
    </r>
    <r>
      <rPr>
        <rFont val="Calibri"/>
        <b val="0"/>
        <color theme="1"/>
        <sz val="10.0"/>
      </rPr>
      <t>- Normal</t>
    </r>
  </si>
  <si>
    <r>
      <rPr>
        <rFont val="Calibri"/>
        <b/>
        <color theme="1"/>
        <sz val="10.0"/>
      </rPr>
      <t xml:space="preserve">MUAC </t>
    </r>
    <r>
      <rPr>
        <rFont val="Calibri"/>
        <b val="0"/>
        <color theme="1"/>
        <sz val="10.0"/>
      </rPr>
      <t>- MW/MAM</t>
    </r>
  </si>
  <si>
    <r>
      <rPr>
        <rFont val="Calibri"/>
        <b/>
        <color theme="1"/>
        <sz val="10.0"/>
      </rPr>
      <t xml:space="preserve">MUAC </t>
    </r>
    <r>
      <rPr>
        <rFont val="Calibri"/>
        <b val="0"/>
        <color theme="1"/>
        <sz val="10.0"/>
      </rPr>
      <t>- SW/SAM</t>
    </r>
  </si>
  <si>
    <t>Total (WFA)</t>
  </si>
  <si>
    <t>Summary of Children covered by e-OPT Plus</t>
  </si>
  <si>
    <t>Mothers/Caregivers Summary</t>
  </si>
  <si>
    <t>Data Inaccuracy</t>
  </si>
  <si>
    <t># Children 0-59 mos. who are Wasted and/or Stunted :</t>
  </si>
  <si>
    <t>Total Number of M/Cs of children 0-59 mos. old:</t>
  </si>
  <si>
    <t># Children with names and birthdate repeated:</t>
  </si>
  <si>
    <t># Children 24-59 mos. who are Wasted and/or Stunted:</t>
  </si>
  <si>
    <t># M/Cs of 0-59 mos children affected by Wasting and/or Stunting:</t>
  </si>
  <si>
    <t># Children with missing information:</t>
  </si>
  <si>
    <t># Children 0-59 mos. who are Overweight/Obesity:</t>
  </si>
  <si>
    <t># M/Cs of 0-59 mos. children who are Overweight/Obesity:</t>
  </si>
  <si>
    <t># Children with no name of parents/address:</t>
  </si>
  <si>
    <t>Total Number of Children 0-23 mos. old:</t>
  </si>
  <si>
    <t>Total Number of M/Cs of children 0-23 mos. old:</t>
  </si>
  <si>
    <t># Children with no sex data:</t>
  </si>
  <si>
    <t># Children 0-23 mos. who are Wasted and/or Stunted:</t>
  </si>
  <si>
    <t># M/Cs of 0-23 mos children affected by Wasting and/or Stunting:</t>
  </si>
  <si>
    <t># Children with no date of birth data:</t>
  </si>
  <si>
    <t>Total Number of Children 0-29 mos. old:</t>
  </si>
  <si>
    <t># Children older than 59 months:</t>
  </si>
  <si>
    <t>Total Number of Children 30-59 mos. old:</t>
  </si>
  <si>
    <t># Children with length/height but no weight:</t>
  </si>
  <si>
    <t>Total Number of Children 24-59 mos. old:</t>
  </si>
  <si>
    <t># Children with weight but no length/height:</t>
  </si>
  <si>
    <t># Children 0-59 mos. w/ Edema:</t>
  </si>
  <si>
    <t># Children 0-59 mos. w/ disability:</t>
  </si>
  <si>
    <t># Children with no data on edema:</t>
  </si>
  <si>
    <t>Note: This is a printable worksheet. Before printing, please read printing instructions (click on the link).</t>
  </si>
  <si>
    <t>PRINTING INSTRUCTIONS</t>
  </si>
  <si>
    <t xml:space="preserve">Prepared by: </t>
  </si>
  <si>
    <t>Checked:</t>
  </si>
  <si>
    <t>Approved:</t>
  </si>
  <si>
    <t>Name and Signature of Mun/City In-Charge for OPT Plus</t>
  </si>
  <si>
    <t>Name and Signature of Midwife/Nurse/MNAO/MHO or District/City Nutrition Program Coordinator</t>
  </si>
  <si>
    <t>Name and Signature of Mayor, C/MNC Chairperson</t>
  </si>
  <si>
    <t xml:space="preserve">         Date: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</si>
</sst>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/d/yyyy"/>
  </numFmts>
  <fonts count="29">
    <font>
      <sz val="10.0"/>
      <color rgb="FF000000"/>
      <name val="Arial"/>
      <scheme val="minor"/>
    </font>
    <font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0.0"/>
      <color theme="1"/>
      <name val="Calibri"/>
    </font>
    <font>
      <sz val="12.0"/>
      <color theme="1"/>
      <name val="Calibri"/>
    </font>
    <font/>
    <font>
      <sz val="9.0"/>
      <color theme="1"/>
      <name val="Calibri"/>
    </font>
    <font>
      <b/>
      <sz val="9.0"/>
      <color theme="1"/>
      <name val="Calibri"/>
    </font>
    <font>
      <b/>
      <sz val="10.0"/>
      <color theme="0"/>
      <name val="Calibri"/>
    </font>
    <font>
      <u/>
      <sz val="10.0"/>
      <color theme="10"/>
      <name val="Calibri"/>
    </font>
    <font>
      <b/>
      <sz val="11.0"/>
      <color theme="0"/>
      <name val="Calibri"/>
    </font>
    <font>
      <sz val="8.0"/>
      <color theme="1"/>
      <name val="Calibri"/>
    </font>
    <font>
      <sz val="8.0"/>
      <color theme="0"/>
      <name val="Calibri"/>
    </font>
    <font>
      <b/>
      <sz val="8.0"/>
      <color theme="0"/>
      <name val="Calibri"/>
    </font>
    <font>
      <b/>
      <sz val="8.0"/>
      <color theme="1"/>
      <name val="Calibri"/>
    </font>
    <font>
      <sz val="7.0"/>
      <color theme="1"/>
      <name val="Calibri"/>
    </font>
    <font>
      <sz val="10.0"/>
      <color rgb="FFFF0000"/>
      <name val="Calibri"/>
    </font>
    <font>
      <sz val="10.0"/>
      <color rgb="FF000000"/>
      <name val="Calibri"/>
    </font>
    <font>
      <u/>
      <sz val="10.0"/>
      <color theme="10"/>
      <name val="Calibri"/>
    </font>
    <font>
      <sz val="8.0"/>
      <color rgb="FF7F7F7F"/>
      <name val="Calibri"/>
    </font>
    <font>
      <u/>
      <sz val="11.0"/>
      <color theme="10"/>
      <name val="Calibri"/>
    </font>
    <font>
      <b/>
      <sz val="7.0"/>
      <color theme="1"/>
      <name val="Calibri"/>
    </font>
    <font>
      <sz val="10.0"/>
      <color theme="0"/>
      <name val="Calibri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theme="1"/>
        <bgColor theme="1"/>
      </patternFill>
    </fill>
    <fill>
      <patternFill patternType="solid">
        <fgColor rgb="FFDDDDDD"/>
        <bgColor rgb="FFDDDDDD"/>
      </patternFill>
    </fill>
    <fill>
      <patternFill patternType="solid">
        <fgColor rgb="FFDDD9C3"/>
        <bgColor rgb="FFDDD9C3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DE9D9"/>
        <bgColor rgb="FFFDE9D9"/>
      </patternFill>
    </fill>
    <fill>
      <patternFill patternType="solid">
        <fgColor rgb="FFC4BD97"/>
        <bgColor rgb="FFC4BD97"/>
      </patternFill>
    </fill>
    <fill>
      <patternFill patternType="solid">
        <fgColor rgb="FF938953"/>
        <bgColor rgb="FF938953"/>
      </patternFill>
    </fill>
    <fill>
      <patternFill patternType="solid">
        <fgColor rgb="FFD99594"/>
        <bgColor rgb="FFD9959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DD9C4"/>
        <bgColor rgb="FFDDD9C4"/>
      </patternFill>
    </fill>
  </fills>
  <borders count="123">
    <border/>
    <border>
      <left/>
      <right/>
      <top/>
      <bottom/>
    </border>
    <border>
      <bottom style="thin">
        <color rgb="FF000000"/>
      </bottom>
    </border>
    <border>
      <left style="hair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hair">
        <color rgb="FF000000"/>
      </right>
      <top style="hair">
        <color rgb="FF000000"/>
      </top>
      <bottom/>
    </border>
    <border>
      <top style="thin">
        <color rgb="FF000000"/>
      </top>
    </border>
    <border>
      <right style="hair">
        <color rgb="FF000000"/>
      </right>
    </border>
    <border>
      <left style="hair">
        <color rgb="FF000000"/>
      </left>
      <top/>
      <bottom style="hair">
        <color rgb="FF000000"/>
      </bottom>
    </border>
    <border>
      <right/>
      <top/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/>
      <top style="hair">
        <color rgb="FF000000"/>
      </top>
      <bottom/>
    </border>
    <border>
      <right/>
      <top style="hair">
        <color rgb="FF000000"/>
      </top>
      <bottom/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theme="0"/>
      </bottom>
    </border>
    <border>
      <right/>
      <top style="thick">
        <color rgb="FF000000"/>
      </top>
      <bottom style="thick">
        <color theme="0"/>
      </bottom>
    </border>
    <border>
      <left/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/>
      <top/>
      <bottom style="thick">
        <color theme="0"/>
      </bottom>
    </border>
    <border>
      <right/>
      <top/>
      <bottom style="thick">
        <color theme="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theme="0"/>
      </right>
      <top style="thick">
        <color theme="0"/>
      </top>
      <bottom style="medium">
        <color theme="0"/>
      </bottom>
    </border>
    <border>
      <left/>
      <right style="thin">
        <color theme="1"/>
      </right>
      <top style="thick">
        <color theme="0"/>
      </top>
      <bottom style="medium">
        <color theme="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ck">
        <color rgb="FF000000"/>
      </right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1"/>
      </right>
      <top/>
      <bottom style="thin">
        <color theme="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ck">
        <color rgb="FF000000"/>
      </right>
      <top/>
    </border>
    <border>
      <left style="thin">
        <color rgb="FF000000"/>
      </left>
      <bottom/>
    </border>
    <border>
      <bottom/>
    </border>
    <border>
      <right style="thick">
        <color rgb="FF000000"/>
      </right>
      <bottom/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theme="0"/>
      </top>
      <bottom/>
    </border>
    <border>
      <left style="thin">
        <color theme="0"/>
      </left>
      <right style="thin">
        <color theme="1"/>
      </right>
      <top style="thin">
        <color theme="0"/>
      </top>
      <bottom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left/>
      <right/>
      <top/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 style="thin">
        <color rgb="FF000000"/>
      </left>
      <right/>
      <top style="thin">
        <color theme="0"/>
      </top>
      <bottom style="thin">
        <color rgb="FF000000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rgb="FF000000"/>
      </bottom>
    </border>
    <border>
      <left style="thick">
        <color rgb="FF00000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/>
      <top style="hair">
        <color rgb="FF000000"/>
      </top>
      <bottom style="hair">
        <color rgb="FF000000"/>
      </bottom>
    </border>
    <border>
      <left/>
      <right style="thick">
        <color rgb="FF000000"/>
      </right>
      <top/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  <bottom style="double">
        <color rgb="FF000000"/>
      </bottom>
    </border>
    <border>
      <top style="hair">
        <color rgb="FF000000"/>
      </top>
      <bottom style="double">
        <color rgb="FF000000"/>
      </bottom>
    </border>
    <border>
      <right/>
      <top style="hair">
        <color rgb="FF000000"/>
      </top>
      <bottom style="double">
        <color rgb="FF000000"/>
      </bottom>
    </border>
    <border>
      <left/>
      <right style="thin">
        <color rgb="FF000000"/>
      </right>
      <top style="hair">
        <color rgb="FF000000"/>
      </top>
      <bottom style="double">
        <color rgb="FF000000"/>
      </bottom>
    </border>
    <border>
      <left style="thin">
        <color rgb="FF000000"/>
      </left>
      <top style="hair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  <bottom style="hair">
        <color rgb="FF000000"/>
      </bottom>
    </border>
    <border>
      <top style="double">
        <color rgb="FF000000"/>
      </top>
      <bottom style="hair">
        <color rgb="FF000000"/>
      </bottom>
    </border>
    <border>
      <right/>
      <top style="double">
        <color rgb="FF000000"/>
      </top>
      <bottom style="hair">
        <color rgb="FF000000"/>
      </bottom>
    </border>
    <border>
      <left style="thin">
        <color rgb="FF000000"/>
      </left>
      <top/>
      <bottom/>
    </border>
    <border>
      <top/>
      <bottom/>
    </border>
    <border>
      <left/>
      <right style="thick">
        <color rgb="FF000000"/>
      </right>
      <top style="hair">
        <color rgb="FF000000"/>
      </top>
      <bottom/>
    </border>
    <border>
      <left style="thick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/>
      <top style="double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top/>
      <bottom/>
    </border>
    <border>
      <left style="thick">
        <color rgb="FF000000"/>
      </left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right/>
      <top style="hair">
        <color rgb="FF000000"/>
      </top>
      <bottom style="thick">
        <color rgb="FF000000"/>
      </bottom>
    </border>
    <border>
      <left/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left/>
      <right style="thin">
        <color rgb="FF000000"/>
      </right>
      <top/>
      <bottom style="thick">
        <color rgb="FF000000"/>
      </bottom>
    </border>
    <border>
      <left style="thin">
        <color rgb="FF000000"/>
      </left>
      <top style="thin">
        <color rgb="FFBFBFBF"/>
      </top>
      <bottom style="thick">
        <color rgb="FF000000"/>
      </bottom>
    </border>
    <border>
      <top style="thin">
        <color rgb="FFBFBFBF"/>
      </top>
      <bottom style="thick">
        <color rgb="FF000000"/>
      </bottom>
    </border>
    <border>
      <right/>
      <top style="thin">
        <color rgb="FFBFBFBF"/>
      </top>
      <bottom style="thick">
        <color rgb="FF000000"/>
      </bottom>
    </border>
    <border>
      <left/>
      <right style="thick">
        <color rgb="FF000000"/>
      </right>
      <top style="thin">
        <color rgb="FFBFBFBF"/>
      </top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4" numFmtId="0" xfId="0" applyAlignment="1" applyFont="1">
      <alignment horizontal="left"/>
    </xf>
    <xf borderId="0" fillId="0" fontId="8" numFmtId="0" xfId="0" applyFont="1"/>
    <xf borderId="0" fillId="0" fontId="6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2" fillId="0" fontId="10" numFmtId="164" xfId="0" applyAlignment="1" applyBorder="1" applyFont="1" applyNumberFormat="1">
      <alignment horizontal="center" vertical="center"/>
    </xf>
    <xf borderId="2" fillId="0" fontId="11" numFmtId="0" xfId="0" applyBorder="1" applyFont="1"/>
    <xf borderId="0" fillId="0" fontId="3" numFmtId="0" xfId="0" applyFont="1"/>
    <xf borderId="3" fillId="2" fontId="12" numFmtId="0" xfId="0" applyAlignment="1" applyBorder="1" applyFont="1">
      <alignment horizontal="center" shrinkToFit="0" wrapText="1"/>
    </xf>
    <xf borderId="4" fillId="0" fontId="11" numFmtId="0" xfId="0" applyBorder="1" applyFont="1"/>
    <xf borderId="5" fillId="0" fontId="11" numFmtId="0" xfId="0" applyBorder="1" applyFont="1"/>
    <xf borderId="0" fillId="0" fontId="6" numFmtId="0" xfId="0" applyAlignment="1" applyFont="1">
      <alignment horizontal="right" vertical="center"/>
    </xf>
    <xf borderId="2" fillId="0" fontId="10" numFmtId="3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13" numFmtId="164" xfId="0" applyAlignment="1" applyFont="1" applyNumberFormat="1">
      <alignment horizontal="right" vertical="center"/>
    </xf>
    <xf borderId="2" fillId="0" fontId="12" numFmtId="0" xfId="0" applyAlignment="1" applyBorder="1" applyFont="1">
      <alignment horizontal="center" vertical="center"/>
    </xf>
    <xf borderId="6" fillId="0" fontId="14" numFmtId="164" xfId="0" applyBorder="1" applyFont="1" applyNumberFormat="1"/>
    <xf borderId="7" fillId="0" fontId="3" numFmtId="0" xfId="0" applyBorder="1" applyFont="1"/>
    <xf borderId="8" fillId="2" fontId="12" numFmtId="0" xfId="0" applyAlignment="1" applyBorder="1" applyFont="1">
      <alignment horizontal="right" shrinkToFit="0" vertical="center" wrapText="1"/>
    </xf>
    <xf borderId="9" fillId="0" fontId="11" numFmtId="0" xfId="0" applyBorder="1" applyFont="1"/>
    <xf borderId="10" fillId="2" fontId="3" numFmtId="3" xfId="0" applyAlignment="1" applyBorder="1" applyFont="1" applyNumberFormat="1">
      <alignment horizontal="center" vertical="center"/>
    </xf>
    <xf borderId="11" fillId="2" fontId="4" numFmtId="0" xfId="0" applyAlignment="1" applyBorder="1" applyFont="1">
      <alignment horizontal="center" vertical="center"/>
    </xf>
    <xf borderId="12" fillId="0" fontId="11" numFmtId="0" xfId="0" applyBorder="1" applyFont="1"/>
    <xf borderId="0" fillId="0" fontId="4" numFmtId="0" xfId="0" applyAlignment="1" applyFont="1">
      <alignment horizontal="right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3" fillId="0" fontId="10" numFmtId="3" xfId="0" applyAlignment="1" applyBorder="1" applyFont="1" applyNumberFormat="1">
      <alignment horizontal="center" shrinkToFit="0" vertical="center" wrapText="1"/>
    </xf>
    <xf borderId="13" fillId="0" fontId="11" numFmtId="0" xfId="0" applyBorder="1" applyFont="1"/>
    <xf borderId="0" fillId="0" fontId="9" numFmtId="3" xfId="0" applyAlignment="1" applyFont="1" applyNumberFormat="1">
      <alignment horizontal="center" vertical="center"/>
    </xf>
    <xf borderId="14" fillId="2" fontId="4" numFmtId="0" xfId="0" applyAlignment="1" applyBorder="1" applyFont="1">
      <alignment horizontal="center" vertical="center"/>
    </xf>
    <xf borderId="15" fillId="0" fontId="11" numFmtId="0" xfId="0" applyBorder="1" applyFont="1"/>
    <xf borderId="1" fillId="2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13" fillId="0" fontId="6" numFmtId="0" xfId="0" applyAlignment="1" applyBorder="1" applyFont="1">
      <alignment horizontal="center" shrinkToFit="0" vertical="center" wrapText="1"/>
    </xf>
    <xf borderId="0" fillId="0" fontId="6" numFmtId="10" xfId="0" applyAlignment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0" fontId="6" numFmtId="10" xfId="0" applyAlignment="1" applyBorder="1" applyFont="1" applyNumberFormat="1">
      <alignment horizontal="center" shrinkToFit="0" vertical="center" wrapText="1"/>
    </xf>
    <xf borderId="16" fillId="3" fontId="9" numFmtId="0" xfId="0" applyAlignment="1" applyBorder="1" applyFill="1" applyFont="1">
      <alignment horizontal="right" shrinkToFit="0" vertical="center" wrapText="1"/>
    </xf>
    <xf borderId="17" fillId="0" fontId="11" numFmtId="0" xfId="0" applyBorder="1" applyFont="1"/>
    <xf borderId="1" fillId="4" fontId="3" numFmtId="3" xfId="0" applyAlignment="1" applyBorder="1" applyFill="1" applyFont="1" applyNumberFormat="1">
      <alignment horizontal="center" shrinkToFit="0" vertical="center" wrapText="1"/>
    </xf>
    <xf borderId="16" fillId="3" fontId="9" numFmtId="3" xfId="0" applyAlignment="1" applyBorder="1" applyFont="1" applyNumberFormat="1">
      <alignment horizontal="center" shrinkToFit="0" vertical="center" wrapText="1"/>
    </xf>
    <xf borderId="18" fillId="5" fontId="14" numFmtId="0" xfId="0" applyAlignment="1" applyBorder="1" applyFill="1" applyFont="1">
      <alignment horizontal="center" shrinkToFit="0" vertical="center" wrapText="1"/>
    </xf>
    <xf borderId="19" fillId="0" fontId="11" numFmtId="0" xfId="0" applyBorder="1" applyFont="1"/>
    <xf borderId="20" fillId="3" fontId="6" numFmtId="0" xfId="0" applyAlignment="1" applyBorder="1" applyFont="1">
      <alignment horizontal="center" shrinkToFit="0" vertical="center" wrapText="1"/>
    </xf>
    <xf borderId="21" fillId="0" fontId="11" numFmtId="0" xfId="0" applyBorder="1" applyFont="1"/>
    <xf borderId="22" fillId="2" fontId="6" numFmtId="0" xfId="0" applyAlignment="1" applyBorder="1" applyFont="1">
      <alignment horizontal="center" shrinkToFit="0" vertical="center" wrapText="1"/>
    </xf>
    <xf borderId="23" fillId="0" fontId="11" numFmtId="0" xfId="0" applyBorder="1" applyFont="1"/>
    <xf borderId="24" fillId="0" fontId="11" numFmtId="0" xfId="0" applyBorder="1" applyFont="1"/>
    <xf borderId="25" fillId="0" fontId="15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vertical="center"/>
    </xf>
    <xf borderId="27" fillId="0" fontId="11" numFmtId="0" xfId="0" applyBorder="1" applyFont="1"/>
    <xf borderId="28" fillId="0" fontId="11" numFmtId="0" xfId="0" applyBorder="1" applyFont="1"/>
    <xf borderId="29" fillId="5" fontId="14" numFmtId="0" xfId="0" applyAlignment="1" applyBorder="1" applyFont="1">
      <alignment horizontal="center" vertical="center"/>
    </xf>
    <xf borderId="30" fillId="0" fontId="11" numFmtId="0" xfId="0" applyBorder="1" applyFont="1"/>
    <xf borderId="31" fillId="6" fontId="6" numFmtId="0" xfId="0" applyAlignment="1" applyBorder="1" applyFill="1" applyFont="1">
      <alignment horizontal="center" vertical="center"/>
    </xf>
    <xf borderId="32" fillId="0" fontId="11" numFmtId="0" xfId="0" applyBorder="1" applyFont="1"/>
    <xf borderId="33" fillId="0" fontId="9" numFmtId="0" xfId="0" applyAlignment="1" applyBorder="1" applyFont="1">
      <alignment horizontal="center" textRotation="90" vertical="center"/>
    </xf>
    <xf borderId="34" fillId="0" fontId="9" numFmtId="0" xfId="0" applyAlignment="1" applyBorder="1" applyFont="1">
      <alignment horizontal="center" textRotation="90" vertical="center"/>
    </xf>
    <xf borderId="35" fillId="0" fontId="11" numFmtId="0" xfId="0" applyBorder="1" applyFont="1"/>
    <xf borderId="36" fillId="0" fontId="9" numFmtId="0" xfId="0" applyAlignment="1" applyBorder="1" applyFont="1">
      <alignment horizontal="center"/>
    </xf>
    <xf borderId="37" fillId="0" fontId="9" numFmtId="0" xfId="0" applyAlignment="1" applyBorder="1" applyFont="1">
      <alignment horizontal="center"/>
    </xf>
    <xf borderId="38" fillId="5" fontId="16" numFmtId="0" xfId="0" applyAlignment="1" applyBorder="1" applyFont="1">
      <alignment horizontal="center"/>
    </xf>
    <xf borderId="39" fillId="5" fontId="16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41" fillId="6" fontId="2" numFmtId="0" xfId="0" applyAlignment="1" applyBorder="1" applyFont="1">
      <alignment horizontal="center"/>
    </xf>
    <xf borderId="42" fillId="0" fontId="11" numFmtId="0" xfId="0" applyBorder="1" applyFont="1"/>
    <xf borderId="43" fillId="0" fontId="11" numFmtId="0" xfId="0" applyBorder="1" applyFont="1"/>
    <xf borderId="44" fillId="0" fontId="6" numFmtId="0" xfId="0" applyBorder="1" applyFont="1"/>
    <xf borderId="36" fillId="0" fontId="17" numFmtId="3" xfId="0" applyAlignment="1" applyBorder="1" applyFont="1" applyNumberFormat="1">
      <alignment horizontal="center"/>
    </xf>
    <xf borderId="37" fillId="0" fontId="17" numFmtId="3" xfId="0" applyAlignment="1" applyBorder="1" applyFont="1" applyNumberFormat="1">
      <alignment horizontal="center"/>
    </xf>
    <xf borderId="45" fillId="5" fontId="18" numFmtId="3" xfId="0" applyAlignment="1" applyBorder="1" applyFont="1" applyNumberFormat="1">
      <alignment horizontal="center"/>
    </xf>
    <xf borderId="46" fillId="5" fontId="19" numFmtId="10" xfId="0" applyAlignment="1" applyBorder="1" applyFont="1" applyNumberFormat="1">
      <alignment horizontal="center"/>
    </xf>
    <xf borderId="47" fillId="3" fontId="17" numFmtId="3" xfId="0" applyAlignment="1" applyBorder="1" applyFont="1" applyNumberFormat="1">
      <alignment horizontal="center" vertical="center"/>
    </xf>
    <xf borderId="48" fillId="6" fontId="20" numFmtId="10" xfId="0" applyAlignment="1" applyBorder="1" applyFont="1" applyNumberFormat="1">
      <alignment horizontal="center" vertical="center"/>
    </xf>
    <xf borderId="49" fillId="0" fontId="17" numFmtId="3" xfId="0" applyAlignment="1" applyBorder="1" applyFont="1" applyNumberFormat="1">
      <alignment horizontal="center" vertical="center"/>
    </xf>
    <xf borderId="50" fillId="0" fontId="17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right"/>
    </xf>
    <xf borderId="51" fillId="7" fontId="6" numFmtId="3" xfId="0" applyAlignment="1" applyBorder="1" applyFill="1" applyFont="1" applyNumberFormat="1">
      <alignment horizontal="center" vertical="center"/>
    </xf>
    <xf borderId="52" fillId="0" fontId="11" numFmtId="0" xfId="0" applyBorder="1" applyFont="1"/>
    <xf borderId="53" fillId="0" fontId="11" numFmtId="0" xfId="0" applyBorder="1" applyFont="1"/>
    <xf borderId="0" fillId="0" fontId="7" numFmtId="3" xfId="0" applyFont="1" applyNumberFormat="1"/>
    <xf borderId="54" fillId="0" fontId="11" numFmtId="0" xfId="0" applyBorder="1" applyFont="1"/>
    <xf borderId="55" fillId="0" fontId="11" numFmtId="0" xfId="0" applyBorder="1" applyFont="1"/>
    <xf borderId="56" fillId="0" fontId="11" numFmtId="0" xfId="0" applyBorder="1" applyFont="1"/>
    <xf borderId="0" fillId="0" fontId="21" numFmtId="0" xfId="0" applyAlignment="1" applyFont="1">
      <alignment horizontal="right" shrinkToFit="0" vertical="center" wrapText="1"/>
    </xf>
    <xf borderId="0" fillId="0" fontId="3" numFmtId="3" xfId="0" applyFont="1" applyNumberFormat="1"/>
    <xf borderId="0" fillId="0" fontId="21" numFmtId="0" xfId="0" applyAlignment="1" applyFont="1">
      <alignment horizontal="right"/>
    </xf>
    <xf borderId="57" fillId="5" fontId="18" numFmtId="3" xfId="0" applyAlignment="1" applyBorder="1" applyFont="1" applyNumberFormat="1">
      <alignment horizontal="center"/>
    </xf>
    <xf borderId="58" fillId="5" fontId="19" numFmtId="10" xfId="0" applyAlignment="1" applyBorder="1" applyFont="1" applyNumberFormat="1">
      <alignment horizontal="center"/>
    </xf>
    <xf borderId="47" fillId="6" fontId="17" numFmtId="3" xfId="0" applyAlignment="1" applyBorder="1" applyFont="1" applyNumberFormat="1">
      <alignment horizontal="center"/>
    </xf>
    <xf borderId="36" fillId="0" fontId="17" numFmtId="3" xfId="0" applyAlignment="1" applyBorder="1" applyFont="1" applyNumberFormat="1">
      <alignment horizontal="center" vertical="center"/>
    </xf>
    <xf borderId="59" fillId="0" fontId="17" numFmtId="3" xfId="0" applyAlignment="1" applyBorder="1" applyFont="1" applyNumberFormat="1">
      <alignment horizontal="center" vertical="center"/>
    </xf>
    <xf borderId="0" fillId="0" fontId="21" numFmtId="0" xfId="0" applyFont="1"/>
    <xf borderId="0" fillId="0" fontId="21" numFmtId="0" xfId="0" applyAlignment="1" applyFont="1">
      <alignment horizontal="right" vertical="center"/>
    </xf>
    <xf borderId="60" fillId="5" fontId="18" numFmtId="3" xfId="0" applyAlignment="1" applyBorder="1" applyFont="1" applyNumberFormat="1">
      <alignment horizontal="center"/>
    </xf>
    <xf borderId="61" fillId="5" fontId="19" numFmtId="10" xfId="0" applyAlignment="1" applyBorder="1" applyFont="1" applyNumberFormat="1">
      <alignment horizontal="center"/>
    </xf>
    <xf borderId="44" fillId="8" fontId="6" numFmtId="0" xfId="0" applyBorder="1" applyFill="1" applyFont="1"/>
    <xf borderId="36" fillId="8" fontId="20" numFmtId="3" xfId="0" applyAlignment="1" applyBorder="1" applyFont="1" applyNumberFormat="1">
      <alignment horizontal="center"/>
    </xf>
    <xf borderId="62" fillId="9" fontId="17" numFmtId="3" xfId="0" applyAlignment="1" applyBorder="1" applyFill="1" applyFont="1" applyNumberFormat="1">
      <alignment horizontal="center"/>
    </xf>
    <xf borderId="63" fillId="9" fontId="20" numFmtId="10" xfId="0" applyAlignment="1" applyBorder="1" applyFont="1" applyNumberFormat="1">
      <alignment horizontal="center"/>
    </xf>
    <xf borderId="47" fillId="8" fontId="17" numFmtId="3" xfId="0" applyAlignment="1" applyBorder="1" applyFont="1" applyNumberFormat="1">
      <alignment horizontal="center"/>
    </xf>
    <xf borderId="48" fillId="8" fontId="20" numFmtId="10" xfId="0" applyAlignment="1" applyBorder="1" applyFont="1" applyNumberFormat="1">
      <alignment horizontal="center" vertical="center"/>
    </xf>
    <xf borderId="36" fillId="10" fontId="17" numFmtId="3" xfId="0" applyAlignment="1" applyBorder="1" applyFill="1" applyFont="1" applyNumberFormat="1">
      <alignment horizontal="center" vertical="center"/>
    </xf>
    <xf borderId="64" fillId="10" fontId="17" numFmtId="3" xfId="0" applyAlignment="1" applyBorder="1" applyFont="1" applyNumberFormat="1">
      <alignment horizontal="center" vertical="center"/>
    </xf>
    <xf borderId="1" fillId="2" fontId="22" numFmtId="0" xfId="0" applyAlignment="1" applyBorder="1" applyFont="1">
      <alignment horizontal="right" vertical="center"/>
    </xf>
    <xf borderId="36" fillId="9" fontId="17" numFmtId="3" xfId="0" applyAlignment="1" applyBorder="1" applyFont="1" applyNumberFormat="1">
      <alignment horizontal="center"/>
    </xf>
    <xf borderId="65" fillId="9" fontId="20" numFmtId="10" xfId="0" applyAlignment="1" applyBorder="1" applyFont="1" applyNumberFormat="1">
      <alignment horizontal="center"/>
    </xf>
    <xf borderId="66" fillId="5" fontId="18" numFmtId="3" xfId="0" applyAlignment="1" applyBorder="1" applyFont="1" applyNumberFormat="1">
      <alignment horizontal="center"/>
    </xf>
    <xf borderId="67" fillId="5" fontId="18" numFmtId="3" xfId="0" applyAlignment="1" applyBorder="1" applyFont="1" applyNumberFormat="1">
      <alignment horizontal="center"/>
    </xf>
    <xf borderId="68" fillId="5" fontId="18" numFmtId="3" xfId="0" applyAlignment="1" applyBorder="1" applyFont="1" applyNumberFormat="1">
      <alignment horizontal="center"/>
    </xf>
    <xf borderId="69" fillId="5" fontId="19" numFmtId="10" xfId="0" applyAlignment="1" applyBorder="1" applyFont="1" applyNumberFormat="1">
      <alignment horizontal="center"/>
    </xf>
    <xf borderId="44" fillId="11" fontId="6" numFmtId="0" xfId="0" applyBorder="1" applyFill="1" applyFont="1"/>
    <xf borderId="36" fillId="5" fontId="6" numFmtId="3" xfId="0" applyAlignment="1" applyBorder="1" applyFont="1" applyNumberFormat="1">
      <alignment horizontal="center" vertical="center"/>
    </xf>
    <xf borderId="36" fillId="11" fontId="17" numFmtId="3" xfId="0" applyAlignment="1" applyBorder="1" applyFont="1" applyNumberFormat="1">
      <alignment horizontal="center" vertical="center"/>
    </xf>
    <xf borderId="68" fillId="12" fontId="20" numFmtId="3" xfId="0" applyAlignment="1" applyBorder="1" applyFill="1" applyFont="1" applyNumberFormat="1">
      <alignment horizontal="center" vertical="center"/>
    </xf>
    <xf borderId="36" fillId="12" fontId="20" numFmtId="10" xfId="0" applyAlignment="1" applyBorder="1" applyFont="1" applyNumberFormat="1">
      <alignment horizontal="center" vertical="center"/>
    </xf>
    <xf borderId="36" fillId="11" fontId="20" numFmtId="10" xfId="0" applyAlignment="1" applyBorder="1" applyFont="1" applyNumberFormat="1">
      <alignment horizontal="center" vertical="center"/>
    </xf>
    <xf borderId="70" fillId="5" fontId="1" numFmtId="0" xfId="0" applyAlignment="1" applyBorder="1" applyFont="1">
      <alignment horizontal="right"/>
    </xf>
    <xf borderId="71" fillId="5" fontId="18" numFmtId="3" xfId="0" applyAlignment="1" applyBorder="1" applyFont="1" applyNumberFormat="1">
      <alignment horizontal="center"/>
    </xf>
    <xf borderId="72" fillId="5" fontId="18" numFmtId="3" xfId="0" applyAlignment="1" applyBorder="1" applyFont="1" applyNumberFormat="1">
      <alignment horizontal="center"/>
    </xf>
    <xf borderId="73" fillId="5" fontId="20" numFmtId="3" xfId="0" applyAlignment="1" applyBorder="1" applyFont="1" applyNumberFormat="1">
      <alignment horizontal="center"/>
    </xf>
    <xf borderId="74" fillId="5" fontId="20" numFmtId="1" xfId="0" applyAlignment="1" applyBorder="1" applyFont="1" applyNumberFormat="1">
      <alignment horizontal="center"/>
    </xf>
    <xf borderId="75" fillId="5" fontId="20" numFmtId="3" xfId="0" applyAlignment="1" applyBorder="1" applyFont="1" applyNumberFormat="1">
      <alignment horizontal="center"/>
    </xf>
    <xf borderId="75" fillId="5" fontId="20" numFmtId="164" xfId="0" applyBorder="1" applyFont="1" applyNumberFormat="1"/>
    <xf borderId="76" fillId="5" fontId="17" numFmtId="0" xfId="0" applyBorder="1" applyFont="1"/>
    <xf borderId="77" fillId="0" fontId="11" numFmtId="0" xfId="0" applyBorder="1" applyFont="1"/>
    <xf borderId="78" fillId="13" fontId="6" numFmtId="0" xfId="0" applyAlignment="1" applyBorder="1" applyFill="1" applyFont="1">
      <alignment horizontal="center" vertical="center"/>
    </xf>
    <xf borderId="79" fillId="0" fontId="11" numFmtId="0" xfId="0" applyBorder="1" applyFont="1"/>
    <xf borderId="37" fillId="13" fontId="6" numFmtId="0" xfId="0" applyAlignment="1" applyBorder="1" applyFont="1">
      <alignment horizontal="center" vertical="center"/>
    </xf>
    <xf borderId="80" fillId="14" fontId="23" numFmtId="0" xfId="0" applyAlignment="1" applyBorder="1" applyFill="1" applyFont="1">
      <alignment horizontal="right" vertical="center"/>
    </xf>
    <xf borderId="81" fillId="0" fontId="11" numFmtId="0" xfId="0" applyBorder="1" applyFont="1"/>
    <xf borderId="82" fillId="14" fontId="23" numFmtId="3" xfId="0" applyAlignment="1" applyBorder="1" applyFont="1" applyNumberFormat="1">
      <alignment horizontal="center" shrinkToFit="0" vertical="center" wrapText="1"/>
    </xf>
    <xf borderId="83" fillId="14" fontId="23" numFmtId="0" xfId="0" applyAlignment="1" applyBorder="1" applyFont="1">
      <alignment horizontal="right" shrinkToFit="0" vertical="center" wrapText="1"/>
    </xf>
    <xf borderId="82" fillId="14" fontId="23" numFmtId="3" xfId="0" applyAlignment="1" applyBorder="1" applyFont="1" applyNumberFormat="1">
      <alignment horizontal="center" vertical="center"/>
    </xf>
    <xf borderId="84" fillId="2" fontId="9" numFmtId="0" xfId="0" applyAlignment="1" applyBorder="1" applyFont="1">
      <alignment horizontal="right" vertical="center"/>
    </xf>
    <xf borderId="85" fillId="0" fontId="11" numFmtId="0" xfId="0" applyBorder="1" applyFont="1"/>
    <xf borderId="86" fillId="0" fontId="11" numFmtId="0" xfId="0" applyBorder="1" applyFont="1"/>
    <xf borderId="87" fillId="14" fontId="23" numFmtId="3" xfId="0" applyAlignment="1" applyBorder="1" applyFont="1" applyNumberFormat="1">
      <alignment horizontal="center" vertical="center"/>
    </xf>
    <xf borderId="84" fillId="14" fontId="23" numFmtId="0" xfId="0" applyAlignment="1" applyBorder="1" applyFont="1">
      <alignment horizontal="right" shrinkToFit="0" vertical="center" wrapText="1"/>
    </xf>
    <xf borderId="88" fillId="14" fontId="23" numFmtId="3" xfId="0" applyAlignment="1" applyBorder="1" applyFont="1" applyNumberFormat="1">
      <alignment horizontal="center" vertical="center"/>
    </xf>
    <xf borderId="89" fillId="14" fontId="23" numFmtId="3" xfId="0" applyAlignment="1" applyBorder="1" applyFont="1" applyNumberFormat="1">
      <alignment horizontal="center" vertical="center"/>
    </xf>
    <xf borderId="90" fillId="14" fontId="23" numFmtId="0" xfId="0" applyAlignment="1" applyBorder="1" applyFont="1">
      <alignment horizontal="right" vertical="center"/>
    </xf>
    <xf borderId="91" fillId="0" fontId="11" numFmtId="0" xfId="0" applyBorder="1" applyFont="1"/>
    <xf borderId="92" fillId="0" fontId="11" numFmtId="0" xfId="0" applyBorder="1" applyFont="1"/>
    <xf borderId="93" fillId="14" fontId="23" numFmtId="3" xfId="0" applyAlignment="1" applyBorder="1" applyFont="1" applyNumberFormat="1">
      <alignment horizontal="center" shrinkToFit="0" vertical="center" wrapText="1"/>
    </xf>
    <xf borderId="94" fillId="14" fontId="23" numFmtId="0" xfId="0" applyAlignment="1" applyBorder="1" applyFont="1">
      <alignment horizontal="right" shrinkToFit="0" vertical="center" wrapText="1"/>
    </xf>
    <xf borderId="91" fillId="0" fontId="23" numFmtId="3" xfId="0" applyAlignment="1" applyBorder="1" applyFont="1" applyNumberFormat="1">
      <alignment horizontal="center" vertical="center"/>
    </xf>
    <xf borderId="95" fillId="15" fontId="23" numFmtId="0" xfId="0" applyAlignment="1" applyBorder="1" applyFill="1" applyFont="1">
      <alignment horizontal="right" vertical="center"/>
    </xf>
    <xf borderId="96" fillId="0" fontId="11" numFmtId="0" xfId="0" applyBorder="1" applyFont="1"/>
    <xf borderId="97" fillId="0" fontId="11" numFmtId="0" xfId="0" applyBorder="1" applyFont="1"/>
    <xf borderId="82" fillId="15" fontId="23" numFmtId="3" xfId="0" applyAlignment="1" applyBorder="1" applyFont="1" applyNumberFormat="1">
      <alignment horizontal="center" shrinkToFit="0" vertical="center" wrapText="1"/>
    </xf>
    <xf borderId="98" fillId="15" fontId="23" numFmtId="0" xfId="0" applyAlignment="1" applyBorder="1" applyFont="1">
      <alignment horizontal="right" shrinkToFit="0" vertical="center" wrapText="1"/>
    </xf>
    <xf borderId="99" fillId="0" fontId="11" numFmtId="0" xfId="0" applyBorder="1" applyFont="1"/>
    <xf borderId="82" fillId="15" fontId="23" numFmtId="3" xfId="0" applyAlignment="1" applyBorder="1" applyFont="1" applyNumberFormat="1">
      <alignment horizontal="center" vertical="center"/>
    </xf>
    <xf borderId="90" fillId="15" fontId="23" numFmtId="0" xfId="0" applyAlignment="1" applyBorder="1" applyFont="1">
      <alignment horizontal="right" vertical="center"/>
    </xf>
    <xf borderId="93" fillId="15" fontId="23" numFmtId="3" xfId="0" applyAlignment="1" applyBorder="1" applyFont="1" applyNumberFormat="1">
      <alignment horizontal="center" shrinkToFit="0" vertical="center" wrapText="1"/>
    </xf>
    <xf borderId="94" fillId="15" fontId="23" numFmtId="0" xfId="0" applyAlignment="1" applyBorder="1" applyFont="1">
      <alignment horizontal="right" shrinkToFit="0" vertical="center" wrapText="1"/>
    </xf>
    <xf borderId="93" fillId="15" fontId="23" numFmtId="3" xfId="0" applyAlignment="1" applyBorder="1" applyFont="1" applyNumberFormat="1">
      <alignment horizontal="center" vertical="center"/>
    </xf>
    <xf borderId="100" fillId="14" fontId="23" numFmtId="3" xfId="0" applyAlignment="1" applyBorder="1" applyFont="1" applyNumberFormat="1">
      <alignment horizontal="center" vertical="center"/>
    </xf>
    <xf borderId="101" fillId="10" fontId="9" numFmtId="0" xfId="0" applyAlignment="1" applyBorder="1" applyFont="1">
      <alignment horizontal="right" vertical="center"/>
    </xf>
    <xf borderId="102" fillId="0" fontId="11" numFmtId="0" xfId="0" applyBorder="1" applyFont="1"/>
    <xf borderId="103" fillId="0" fontId="11" numFmtId="0" xfId="0" applyBorder="1" applyFont="1"/>
    <xf borderId="104" fillId="10" fontId="23" numFmtId="3" xfId="0" applyAlignment="1" applyBorder="1" applyFont="1" applyNumberFormat="1">
      <alignment horizontal="center" shrinkToFit="0" vertical="center" wrapText="1"/>
    </xf>
    <xf borderId="105" fillId="14" fontId="23" numFmtId="0" xfId="0" applyAlignment="1" applyBorder="1" applyFont="1">
      <alignment horizontal="right" shrinkToFit="0" vertical="center" wrapText="1"/>
    </xf>
    <xf borderId="1" fillId="14" fontId="23" numFmtId="0" xfId="0" applyAlignment="1" applyBorder="1" applyFont="1">
      <alignment horizontal="right" shrinkToFit="0" vertical="center" wrapText="1"/>
    </xf>
    <xf borderId="104" fillId="14" fontId="23" numFmtId="0" xfId="0" applyAlignment="1" applyBorder="1" applyFont="1">
      <alignment horizontal="center" vertical="center"/>
    </xf>
    <xf borderId="106" fillId="10" fontId="9" numFmtId="0" xfId="0" applyAlignment="1" applyBorder="1" applyFont="1">
      <alignment horizontal="right" vertical="center"/>
    </xf>
    <xf borderId="107" fillId="10" fontId="9" numFmtId="0" xfId="0" applyAlignment="1" applyBorder="1" applyFont="1">
      <alignment horizontal="right" vertical="center"/>
    </xf>
    <xf borderId="108" fillId="0" fontId="11" numFmtId="0" xfId="0" applyBorder="1" applyFont="1"/>
    <xf borderId="109" fillId="0" fontId="11" numFmtId="0" xfId="0" applyBorder="1" applyFont="1"/>
    <xf borderId="110" fillId="10" fontId="23" numFmtId="3" xfId="0" applyAlignment="1" applyBorder="1" applyFont="1" applyNumberFormat="1">
      <alignment horizontal="center" shrinkToFit="0" vertical="center" wrapText="1"/>
    </xf>
    <xf borderId="83" fillId="2" fontId="9" numFmtId="0" xfId="0" applyAlignment="1" applyBorder="1" applyFont="1">
      <alignment horizontal="right" vertical="center"/>
    </xf>
    <xf borderId="95" fillId="16" fontId="23" numFmtId="0" xfId="0" applyAlignment="1" applyBorder="1" applyFill="1" applyFont="1">
      <alignment horizontal="right" vertical="center"/>
    </xf>
    <xf borderId="104" fillId="16" fontId="23" numFmtId="3" xfId="0" applyAlignment="1" applyBorder="1" applyFont="1" applyNumberFormat="1">
      <alignment horizontal="center" shrinkToFit="0" vertical="center" wrapText="1"/>
    </xf>
    <xf borderId="111" fillId="16" fontId="23" numFmtId="0" xfId="0" applyAlignment="1" applyBorder="1" applyFont="1">
      <alignment horizontal="right" vertical="center"/>
    </xf>
    <xf borderId="112" fillId="0" fontId="11" numFmtId="0" xfId="0" applyBorder="1" applyFont="1"/>
    <xf borderId="113" fillId="0" fontId="11" numFmtId="0" xfId="0" applyBorder="1" applyFont="1"/>
    <xf borderId="114" fillId="16" fontId="23" numFmtId="3" xfId="0" applyAlignment="1" applyBorder="1" applyFont="1" applyNumberFormat="1">
      <alignment horizontal="center" shrinkToFit="0" vertical="center" wrapText="1"/>
    </xf>
    <xf borderId="115" fillId="14" fontId="23" numFmtId="0" xfId="0" applyAlignment="1" applyBorder="1" applyFont="1">
      <alignment horizontal="right" shrinkToFit="0" vertical="center" wrapText="1"/>
    </xf>
    <xf borderId="116" fillId="0" fontId="11" numFmtId="0" xfId="0" applyBorder="1" applyFont="1"/>
    <xf borderId="117" fillId="14" fontId="23" numFmtId="0" xfId="0" applyAlignment="1" applyBorder="1" applyFont="1">
      <alignment horizontal="center" vertical="center"/>
    </xf>
    <xf borderId="118" fillId="14" fontId="23" numFmtId="0" xfId="0" applyAlignment="1" applyBorder="1" applyFont="1">
      <alignment horizontal="right" vertical="center"/>
    </xf>
    <xf borderId="119" fillId="0" fontId="11" numFmtId="0" xfId="0" applyBorder="1" applyFont="1"/>
    <xf borderId="120" fillId="0" fontId="11" numFmtId="0" xfId="0" applyBorder="1" applyFont="1"/>
    <xf borderId="121" fillId="14" fontId="23" numFmtId="3" xfId="0" applyAlignment="1" applyBorder="1" applyFont="1" applyNumberFormat="1">
      <alignment horizontal="center" vertical="center"/>
    </xf>
    <xf borderId="11" fillId="2" fontId="24" numFmtId="0" xfId="0" applyAlignment="1" applyBorder="1" applyFont="1">
      <alignment vertical="center"/>
    </xf>
    <xf borderId="11" fillId="2" fontId="25" numFmtId="0" xfId="0" applyAlignment="1" applyBorder="1" applyFont="1">
      <alignment horizontal="center" shrinkToFit="0" vertical="center" wrapText="1"/>
    </xf>
    <xf borderId="122" fillId="0" fontId="26" numFmtId="0" xfId="0" applyAlignment="1" applyBorder="1" applyFont="1">
      <alignment horizontal="center" vertical="center"/>
    </xf>
    <xf borderId="122" fillId="0" fontId="11" numFmtId="0" xfId="0" applyBorder="1" applyFont="1"/>
    <xf borderId="1" fillId="3" fontId="16" numFmtId="0" xfId="0" applyAlignment="1" applyBorder="1" applyFont="1">
      <alignment horizontal="right"/>
    </xf>
    <xf borderId="1" fillId="3" fontId="2" numFmtId="0" xfId="0" applyAlignment="1" applyBorder="1" applyFont="1">
      <alignment horizontal="center"/>
    </xf>
    <xf borderId="1" fillId="3" fontId="9" numFmtId="0" xfId="0" applyAlignment="1" applyBorder="1" applyFont="1">
      <alignment horizontal="right" shrinkToFit="0" vertical="center" wrapText="1"/>
    </xf>
    <xf borderId="1" fillId="3" fontId="2" numFmtId="3" xfId="0" applyAlignment="1" applyBorder="1" applyFont="1" applyNumberFormat="1">
      <alignment horizontal="center"/>
    </xf>
    <xf borderId="1" fillId="3" fontId="2" numFmtId="1" xfId="0" applyAlignment="1" applyBorder="1" applyFont="1" applyNumberFormat="1">
      <alignment horizontal="center"/>
    </xf>
    <xf borderId="1" fillId="3" fontId="2" numFmtId="164" xfId="0" applyBorder="1" applyFont="1" applyNumberFormat="1"/>
    <xf borderId="0" fillId="0" fontId="27" numFmtId="0" xfId="0" applyAlignment="1" applyFont="1">
      <alignment horizontal="right"/>
    </xf>
    <xf borderId="0" fillId="0" fontId="27" numFmtId="0" xfId="0" applyAlignment="1" applyFont="1">
      <alignment horizontal="center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6" numFmtId="3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64" xfId="0" applyFont="1" applyNumberFormat="1"/>
    <xf borderId="0" fillId="0" fontId="21" numFmtId="3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0" fillId="0" fontId="28" numFmtId="0" xfId="0" applyAlignment="1" applyFont="1">
      <alignment horizontal="right" vertical="center"/>
    </xf>
    <xf borderId="0" fillId="0" fontId="9" numFmtId="0" xfId="0" applyAlignment="1" applyFont="1">
      <alignment horizontal="center" vertical="center"/>
    </xf>
    <xf borderId="0" fillId="0" fontId="12" numFmtId="0" xfId="0" applyAlignment="1" applyFont="1">
      <alignment horizontal="right"/>
    </xf>
    <xf borderId="2" fillId="0" fontId="9" numFmtId="0" xfId="0" applyAlignment="1" applyBorder="1" applyFont="1">
      <alignment horizontal="left" vertical="center"/>
    </xf>
    <xf borderId="2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2" fillId="0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vertical="center"/>
    </xf>
    <xf borderId="6" fillId="0" fontId="9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right"/>
    </xf>
    <xf borderId="0" fillId="0" fontId="17" numFmtId="0" xfId="0" applyAlignment="1" applyFont="1">
      <alignment horizontal="right"/>
    </xf>
    <xf borderId="2" fillId="0" fontId="17" numFmtId="14" xfId="0" applyAlignment="1" applyBorder="1" applyFont="1" applyNumberFormat="1">
      <alignment horizontal="center"/>
    </xf>
    <xf borderId="0" fillId="0" fontId="17" numFmtId="14" xfId="0" applyFont="1" applyNumberFormat="1"/>
    <xf borderId="0" fillId="0" fontId="17" numFmtId="0" xfId="0" applyFont="1"/>
    <xf borderId="2" fillId="0" fontId="17" numFmtId="14" xfId="0" applyAlignment="1" applyBorder="1" applyFont="1" applyNumberFormat="1">
      <alignment horizontal="center" vertical="center"/>
    </xf>
    <xf borderId="0" fillId="0" fontId="17" numFmtId="165" xfId="0" applyAlignment="1" applyFont="1" applyNumberFormat="1">
      <alignment horizontal="center"/>
    </xf>
    <xf borderId="0" fillId="0" fontId="17" numFmtId="0" xfId="0" applyAlignment="1" applyFont="1">
      <alignment horizontal="left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10">
    <dxf>
      <font>
        <color rgb="FFBFBFBF"/>
      </font>
      <fill>
        <patternFill patternType="solid">
          <fgColor rgb="FFBFBFBF"/>
          <bgColor rgb="FFBFBFBF"/>
        </patternFill>
      </fill>
      <border/>
    </dxf>
    <dxf>
      <font>
        <color theme="1"/>
      </font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  <dxf>
      <font>
        <color rgb="FF7F7F7F"/>
      </font>
      <fill>
        <patternFill patternType="solid">
          <fgColor rgb="FF7F7F7F"/>
          <bgColor rgb="FF7F7F7F"/>
        </patternFill>
      </fill>
      <border/>
    </dxf>
    <dxf>
      <font>
        <color theme="1"/>
      </font>
      <fill>
        <patternFill patternType="none"/>
      </fill>
      <border>
        <bottom style="thin">
          <color rgb="FF000000"/>
        </bottom>
      </border>
    </dxf>
    <dxf>
      <font>
        <color rgb="FFBFBFBF"/>
      </font>
      <fill>
        <patternFill patternType="solid">
          <fgColor rgb="FFBFBFBF"/>
          <bgColor rgb="FFBFBFBF"/>
        </patternFill>
      </fill>
      <border>
        <bottom style="thin">
          <color rgb="FF000000"/>
        </bottom>
      </border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00B050"/>
          <bgColor rgb="FF00B050"/>
        </patternFill>
      </fill>
      <border>
        <bottom style="thin">
          <color rgb="FF000000"/>
        </bottom>
      </border>
    </dxf>
    <dxf>
      <font/>
      <fill>
        <patternFill patternType="none"/>
      </fill>
      <border>
        <bottom style="thin">
          <color rgb="FF000000"/>
        </bottom>
      </border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0</xdr:row>
      <xdr:rowOff>104775</xdr:rowOff>
    </xdr:from>
    <xdr:ext cx="1019175" cy="762000"/>
    <xdr:sp>
      <xdr:nvSpPr>
        <xdr:cNvPr id="3" name="Shape 3"/>
        <xdr:cNvSpPr txBox="1"/>
      </xdr:nvSpPr>
      <xdr:spPr>
        <a:xfrm>
          <a:off x="4841175" y="3403763"/>
          <a:ext cx="1009650" cy="752475"/>
        </a:xfrm>
        <a:prstGeom prst="rect">
          <a:avLst/>
        </a:prstGeom>
        <a:solidFill>
          <a:schemeClr val="lt1"/>
        </a:solidFill>
        <a:ln cap="flat" cmpd="sng" w="9525">
          <a:solidFill>
            <a:srgbClr val="F2F2F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SPACE FOR OFFICAL SEAL OF LGU</a:t>
          </a:r>
          <a:endParaRPr sz="1400"/>
        </a:p>
      </xdr:txBody>
    </xdr:sp>
    <xdr:clientData fLocksWithSheet="0"/>
  </xdr:oneCellAnchor>
  <xdr:oneCellAnchor>
    <xdr:from>
      <xdr:col>8</xdr:col>
      <xdr:colOff>342900</xdr:colOff>
      <xdr:row>0</xdr:row>
      <xdr:rowOff>57150</xdr:rowOff>
    </xdr:from>
    <xdr:ext cx="733425" cy="7715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257175</xdr:colOff>
      <xdr:row>0</xdr:row>
      <xdr:rowOff>0</xdr:rowOff>
    </xdr:from>
    <xdr:ext cx="1104900" cy="8858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 fitToPage="1"/>
  </sheetPr>
  <sheetViews>
    <sheetView showGridLines="0" workbookViewId="0"/>
  </sheetViews>
  <sheetFormatPr customHeight="1" defaultColWidth="12.63" defaultRowHeight="15.75"/>
  <cols>
    <col customWidth="1" min="1" max="1" width="19.63"/>
    <col customWidth="1" min="2" max="5" width="6.38"/>
    <col customWidth="1" min="6" max="6" width="8.25"/>
    <col customWidth="1" min="7" max="7" width="6.38"/>
    <col customWidth="1" min="8" max="9" width="6.5"/>
    <col customWidth="1" min="10" max="19" width="6.38"/>
    <col customWidth="1" min="20" max="23" width="9.5"/>
    <col customWidth="1" min="24" max="26" width="7.0"/>
    <col customWidth="1" min="27" max="27" width="2.75"/>
    <col customWidth="1" hidden="1" min="28" max="36" width="9.38"/>
  </cols>
  <sheetData>
    <row r="1">
      <c r="V1" s="1"/>
      <c r="W1" s="1"/>
    </row>
    <row r="2">
      <c r="A2" s="2"/>
      <c r="B2" s="2"/>
      <c r="C2" s="2"/>
      <c r="D2" s="2"/>
      <c r="E2" s="2"/>
      <c r="F2" s="2"/>
      <c r="G2" s="2"/>
      <c r="H2" s="2"/>
      <c r="I2" s="3" t="s">
        <v>0</v>
      </c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3" t="s">
        <v>1</v>
      </c>
      <c r="V3" s="2"/>
      <c r="W3" s="2"/>
      <c r="X3" s="2"/>
      <c r="Y3" s="2"/>
      <c r="Z3" s="2"/>
    </row>
    <row r="4">
      <c r="A4" s="2"/>
      <c r="B4" s="2"/>
      <c r="C4" s="2"/>
      <c r="D4" s="2"/>
      <c r="E4" s="4" t="s">
        <v>2</v>
      </c>
      <c r="V4" s="2"/>
      <c r="W4" s="2"/>
      <c r="X4" s="2"/>
      <c r="Y4" s="2"/>
      <c r="Z4" s="2"/>
    </row>
    <row r="5" ht="18.0" customHeight="1">
      <c r="A5" s="2"/>
      <c r="B5" s="2"/>
      <c r="C5" s="2"/>
      <c r="D5" s="2"/>
      <c r="E5" s="5" t="str">
        <f>IF(Barangays!$C$3="BARMM","Bangsamoro Autonomous Region in Muslim Mindanao",IF(Barangays!$C$3="CAR","Cordillera Administrative Region",IF(Barangays!$C$3="CARAGA","Region XIII - CARAGA",IF(Barangays!$C$3="NCR","National Capital Region",Barangays!$C$3))))</f>
        <v>#REF!</v>
      </c>
      <c r="V5" s="2"/>
      <c r="W5" s="2"/>
      <c r="X5" s="2"/>
      <c r="Y5" s="2"/>
      <c r="Z5" s="2"/>
    </row>
    <row r="6" ht="3.0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.0" customHeight="1">
      <c r="V8" s="1"/>
      <c r="W8" s="1"/>
    </row>
    <row r="9" ht="28.5" customHeight="1">
      <c r="A9" s="10"/>
      <c r="B9" s="11"/>
      <c r="C9" s="12"/>
      <c r="D9" s="12"/>
      <c r="E9" s="10" t="str">
        <f>IF(AND(Barangays!$C$3="NCR",OR(Barangays!$C$4="MANILA",Barangays!$C$4="PASAY",Barangays!$C$4="CALOOCAN",Barangays!$C$4="QUEZON CITY")),"City District:",IF(AND(Barangays!$C$3="NCR",Barangays!$C$4&lt;&gt;"MANILA"),"",IF(ISNUMBER(SEARCH("CITY",Barangays!$C$4)),"",IF(Barangays!$B$4="","",IF(ISNUMBER(SEARCH("CITY",Barangays!$I$6)),"Province:","Province:")))))</f>
        <v>#REF!</v>
      </c>
      <c r="H9" s="13" t="str">
        <f>IF(ISNUMBER(SEARCH("CITY OF",Barangays!$C$4)),"",IF(Barangays!$C$4="MANILA",Barangays!$I$4,IF(OR(Barangays!$C$4="PASAY",Barangays!$C$4="CALOOCAN",Barangays!$C$4="QUEZON CITY"),Barangays!$I$4,IF(AND(Barangays!$C$3="NCR",OR(Barangays!$C$4&lt;&gt;"MANILA",Barangays!$C$4&lt;&gt;"PASAY",Barangays!$C$4&lt;&gt;"CALOOCAN",Barangays!$C$4&lt;&gt;"QUEZON CITY")),"",Barangays!$C$4))))</f>
        <v>#REF!</v>
      </c>
      <c r="M9" s="14"/>
      <c r="N9" s="14"/>
      <c r="O9" s="12" t="s">
        <v>4</v>
      </c>
      <c r="Q9" s="15" t="str">
        <f>IF(Barangays!$X$6="Weight + Length/Height",IFERROR(S14/J11,0),IFERROR(J14/Q11,0))</f>
        <v>#REF!</v>
      </c>
      <c r="R9" s="16"/>
      <c r="S9" s="17"/>
      <c r="T9" s="18" t="s">
        <v>5</v>
      </c>
      <c r="U9" s="19"/>
      <c r="V9" s="20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</row>
    <row r="10" ht="22.5" customHeight="1">
      <c r="A10" s="21"/>
      <c r="B10" s="13"/>
      <c r="F10" s="10" t="s">
        <v>6</v>
      </c>
      <c r="H10" s="12" t="str">
        <f>IF(OR(Barangays!$C$4="MANILA",Barangays!$C$4="PASAY",Barangays!$C$4="CALOOCAN",Barangays!$C$4="QUEZON CITY"),"City District:",IF(OR($A$11="Highly Urbanized City:",$A$11="Independent Component City:",$A$11="Component City:"),"City:",$A$11))</f>
        <v>#REF!</v>
      </c>
      <c r="J10" s="22" t="str">
        <f>$AC$17</f>
        <v/>
      </c>
      <c r="K10" s="16"/>
      <c r="L10" s="16"/>
      <c r="M10" s="23"/>
      <c r="N10" s="24" t="s">
        <v>7</v>
      </c>
      <c r="P10" s="25" t="s">
        <v>8</v>
      </c>
      <c r="Q10" s="16"/>
      <c r="R10" s="26"/>
      <c r="S10" s="27"/>
      <c r="T10" s="28" t="s">
        <v>9</v>
      </c>
      <c r="U10" s="29"/>
      <c r="V10" s="30" t="str">
        <f>Barangays!GA5 + Barangays!GC5</f>
        <v>#REF!</v>
      </c>
      <c r="W10" s="31" t="s">
        <v>10</v>
      </c>
      <c r="X10" s="32"/>
      <c r="Y10" s="4" t="str">
        <f>IF(Barangays!$C$1="","",Barangays!$C$1)</f>
        <v>#REF!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</row>
    <row r="11" ht="30.0" customHeight="1">
      <c r="A11" s="33" t="str">
        <f>IF(AND(Barangays!$C$3="NCR",Barangays!$C$4&lt;&gt;"PATEROS"),"Highly Urbanized City:",IF(ISNUMBER(SEARCH("CITY",Barangays!$C$4)),Barangays!$B$4,IF(Barangays!$C$4="SPECIAL GOVERNMENT UNIT","Cluster:",IF(ISNUMBER(SEARCH("CITY",Barangays!$I$4)),"Component City:","Municipality:"))))</f>
        <v>#REF!</v>
      </c>
      <c r="B11" s="34" t="str">
        <f>IF(Barangays!$C$3="NCR",Barangays!$C$4,IF(ISNUMBER(SEARCH("CITY",Barangays!$C$4)),Barangays!$C$4,IF(ISNUMBER(SEARCH("CITY",Barangays!$I$4)),Barangays!$I$4,Barangays!$I$4)))</f>
        <v>#REF!</v>
      </c>
      <c r="C11" s="16"/>
      <c r="D11" s="16"/>
      <c r="E11" s="16"/>
      <c r="F11" s="10" t="s">
        <v>11</v>
      </c>
      <c r="H11" s="12" t="str">
        <f>H10</f>
        <v>#REF!</v>
      </c>
      <c r="J11" s="35" t="str">
        <f>$AD$17</f>
        <v/>
      </c>
      <c r="K11" s="36"/>
      <c r="L11" s="36"/>
      <c r="M11" s="37"/>
      <c r="N11" s="10" t="s">
        <v>12</v>
      </c>
      <c r="P11" s="10" t="str">
        <f>H10</f>
        <v>#REF!</v>
      </c>
      <c r="Q11" s="35" t="str">
        <f>$AF$17</f>
        <v/>
      </c>
      <c r="R11" s="36"/>
      <c r="S11" s="36"/>
      <c r="T11" s="38"/>
      <c r="U11" s="39"/>
      <c r="V11" s="4"/>
      <c r="W11" s="40"/>
      <c r="X11" s="41"/>
      <c r="AA11" s="17"/>
      <c r="AB11" s="17"/>
      <c r="AC11" s="17"/>
      <c r="AD11" s="17"/>
      <c r="AE11" s="17"/>
      <c r="AF11" s="17"/>
      <c r="AG11" s="17"/>
      <c r="AH11" s="17"/>
      <c r="AI11" s="17"/>
      <c r="AJ11" s="17"/>
    </row>
    <row r="12" ht="27.75" customHeight="1">
      <c r="A12" s="21" t="s">
        <v>13</v>
      </c>
      <c r="B12" s="42" t="str">
        <f>$AE$17</f>
        <v/>
      </c>
      <c r="C12" s="36"/>
      <c r="D12" s="36"/>
      <c r="E12" s="36"/>
      <c r="F12" s="10"/>
      <c r="G12" s="10" t="str">
        <f>IF(Barangays!$X$6="MUAC", "", "Prevalence Rate MUW &amp; SUW (Last OPT Plus):")</f>
        <v>#REF!</v>
      </c>
      <c r="K12" s="43"/>
      <c r="M12" s="10"/>
      <c r="N12" s="10" t="str">
        <f>IF(Barangays!$X$6="MUAC", "", "Prevalence Rate MSt &amp; SSt (Last OPT Plus):")</f>
        <v>#REF!</v>
      </c>
      <c r="R12" s="43"/>
      <c r="T12" s="44"/>
      <c r="U12" s="10" t="s">
        <v>14</v>
      </c>
      <c r="Y12" s="45"/>
      <c r="Z12" s="16"/>
      <c r="AA12" s="17"/>
      <c r="AB12" s="17"/>
      <c r="AC12" s="17"/>
      <c r="AD12" s="17"/>
      <c r="AE12" s="17"/>
      <c r="AF12" s="17"/>
      <c r="AG12" s="17"/>
      <c r="AH12" s="17"/>
      <c r="AI12" s="17"/>
      <c r="AJ12" s="17"/>
    </row>
    <row r="13" ht="3.75" customHeight="1">
      <c r="A13" s="21"/>
      <c r="B13" s="21"/>
      <c r="C13" s="21"/>
      <c r="D13" s="21"/>
      <c r="E13" s="21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44"/>
      <c r="U13" s="44"/>
      <c r="V13" s="44"/>
      <c r="W13" s="44"/>
      <c r="X13" s="44"/>
      <c r="Y13" s="44"/>
      <c r="Z13" s="44"/>
      <c r="AA13" s="17"/>
      <c r="AB13" s="17"/>
      <c r="AC13" s="17"/>
      <c r="AD13" s="17"/>
      <c r="AE13" s="17"/>
      <c r="AF13" s="17"/>
      <c r="AG13" s="17"/>
      <c r="AH13" s="17"/>
      <c r="AI13" s="17"/>
      <c r="AJ13" s="17"/>
    </row>
    <row r="14" ht="16.5" customHeight="1">
      <c r="A14" s="21"/>
      <c r="B14" s="46" t="s">
        <v>15</v>
      </c>
      <c r="C14" s="47"/>
      <c r="D14" s="48" t="str">
        <f>Barangays!FZ5</f>
        <v>#REF!</v>
      </c>
      <c r="E14" s="46" t="s">
        <v>16</v>
      </c>
      <c r="F14" s="47"/>
      <c r="G14" s="48" t="str">
        <f>Barangays!GB5</f>
        <v>#REF!</v>
      </c>
      <c r="H14" s="46" t="s">
        <v>17</v>
      </c>
      <c r="I14" s="47"/>
      <c r="J14" s="48" t="str">
        <f>Barangays!F5</f>
        <v>#REF!</v>
      </c>
      <c r="K14" s="46" t="s">
        <v>18</v>
      </c>
      <c r="L14" s="47"/>
      <c r="M14" s="48" t="str">
        <f>Barangays!C5</f>
        <v>#REF!</v>
      </c>
      <c r="N14" s="49" t="s">
        <v>19</v>
      </c>
      <c r="O14" s="47"/>
      <c r="P14" s="48" t="str">
        <f>Barangays!D5</f>
        <v>#REF!</v>
      </c>
      <c r="Q14" s="46" t="s">
        <v>20</v>
      </c>
      <c r="R14" s="47"/>
      <c r="S14" s="48" t="str">
        <f>Barangays!E5</f>
        <v>#REF!</v>
      </c>
      <c r="T14" s="50" t="s">
        <v>21</v>
      </c>
      <c r="U14" s="51"/>
      <c r="V14" s="52" t="s">
        <v>22</v>
      </c>
      <c r="W14" s="53"/>
      <c r="X14" s="54" t="s">
        <v>23</v>
      </c>
      <c r="Y14" s="55"/>
      <c r="Z14" s="56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ht="15.75" customHeight="1">
      <c r="A15" s="57"/>
      <c r="B15" s="58" t="s">
        <v>24</v>
      </c>
      <c r="C15" s="59"/>
      <c r="D15" s="60"/>
      <c r="E15" s="58" t="s">
        <v>25</v>
      </c>
      <c r="F15" s="59"/>
      <c r="G15" s="60"/>
      <c r="H15" s="58" t="s">
        <v>26</v>
      </c>
      <c r="I15" s="59"/>
      <c r="J15" s="60"/>
      <c r="K15" s="58" t="s">
        <v>27</v>
      </c>
      <c r="L15" s="59"/>
      <c r="M15" s="60"/>
      <c r="N15" s="58" t="s">
        <v>28</v>
      </c>
      <c r="O15" s="59"/>
      <c r="P15" s="60"/>
      <c r="Q15" s="58" t="s">
        <v>29</v>
      </c>
      <c r="R15" s="59"/>
      <c r="S15" s="60"/>
      <c r="T15" s="61" t="s">
        <v>30</v>
      </c>
      <c r="U15" s="62"/>
      <c r="V15" s="63" t="s">
        <v>31</v>
      </c>
      <c r="W15" s="64"/>
      <c r="X15" s="65" t="s">
        <v>32</v>
      </c>
      <c r="Y15" s="65" t="s">
        <v>33</v>
      </c>
      <c r="Z15" s="66" t="s">
        <v>34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</row>
    <row r="16">
      <c r="A16" s="67"/>
      <c r="B16" s="68" t="s">
        <v>32</v>
      </c>
      <c r="C16" s="68" t="s">
        <v>33</v>
      </c>
      <c r="D16" s="68" t="s">
        <v>34</v>
      </c>
      <c r="E16" s="68" t="s">
        <v>32</v>
      </c>
      <c r="F16" s="68" t="s">
        <v>33</v>
      </c>
      <c r="G16" s="68" t="s">
        <v>34</v>
      </c>
      <c r="H16" s="68" t="s">
        <v>32</v>
      </c>
      <c r="I16" s="68" t="s">
        <v>33</v>
      </c>
      <c r="J16" s="68" t="s">
        <v>34</v>
      </c>
      <c r="K16" s="68" t="s">
        <v>32</v>
      </c>
      <c r="L16" s="68" t="s">
        <v>33</v>
      </c>
      <c r="M16" s="68" t="s">
        <v>34</v>
      </c>
      <c r="N16" s="68" t="s">
        <v>32</v>
      </c>
      <c r="O16" s="68" t="s">
        <v>33</v>
      </c>
      <c r="P16" s="68" t="s">
        <v>34</v>
      </c>
      <c r="Q16" s="68" t="s">
        <v>32</v>
      </c>
      <c r="R16" s="68" t="s">
        <v>33</v>
      </c>
      <c r="S16" s="69" t="s">
        <v>34</v>
      </c>
      <c r="T16" s="70" t="s">
        <v>34</v>
      </c>
      <c r="U16" s="71" t="s">
        <v>35</v>
      </c>
      <c r="V16" s="72" t="s">
        <v>34</v>
      </c>
      <c r="W16" s="73" t="s">
        <v>35</v>
      </c>
      <c r="X16" s="74"/>
      <c r="Y16" s="74"/>
      <c r="Z16" s="75"/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>
      <c r="A17" s="76" t="s">
        <v>36</v>
      </c>
      <c r="B17" s="77" t="str">
        <f>Barangays!CQ5</f>
        <v>#REF!</v>
      </c>
      <c r="C17" s="77" t="str">
        <f>Barangays!H5</f>
        <v>#REF!</v>
      </c>
      <c r="D17" s="77" t="str">
        <f>SUM(B17:C17)</f>
        <v>#REF!</v>
      </c>
      <c r="E17" s="77" t="str">
        <f>Barangays!DC5</f>
        <v>#REF!</v>
      </c>
      <c r="F17" s="77" t="str">
        <f>Barangays!T5</f>
        <v>#REF!</v>
      </c>
      <c r="G17" s="77" t="str">
        <f>SUM(E17:F17)</f>
        <v>#REF!</v>
      </c>
      <c r="H17" s="77" t="str">
        <f>Barangays!DR5</f>
        <v>#REF!</v>
      </c>
      <c r="I17" s="77" t="str">
        <f>Barangays!AI5</f>
        <v>#REF!</v>
      </c>
      <c r="J17" s="77" t="str">
        <f>SUM(H17:I17)</f>
        <v>#REF!</v>
      </c>
      <c r="K17" s="77" t="str">
        <f>Barangays!EG5</f>
        <v>#REF!</v>
      </c>
      <c r="L17" s="77" t="str">
        <f>Barangays!AX5</f>
        <v>#REF!</v>
      </c>
      <c r="M17" s="77" t="str">
        <f>SUM(K17:L17)</f>
        <v>#REF!</v>
      </c>
      <c r="N17" s="77" t="str">
        <f>Barangays!EV5</f>
        <v>#REF!</v>
      </c>
      <c r="O17" s="77" t="str">
        <f>Barangays!BM5</f>
        <v>#REF!</v>
      </c>
      <c r="P17" s="77" t="str">
        <f>SUM(N17:O17)</f>
        <v>#REF!</v>
      </c>
      <c r="Q17" s="77" t="str">
        <f>Barangays!FK5</f>
        <v>#REF!</v>
      </c>
      <c r="R17" s="77" t="str">
        <f>Barangays!CB5</f>
        <v>#REF!</v>
      </c>
      <c r="S17" s="78" t="str">
        <f>SUM(Q17:R17)</f>
        <v>#REF!</v>
      </c>
      <c r="T17" s="79" t="str">
        <f>D17+G17+J17+M17+P17+S17</f>
        <v>#REF!</v>
      </c>
      <c r="U17" s="80" t="str">
        <f>IF(M14=0,0,T17/M14)</f>
        <v>#REF!</v>
      </c>
      <c r="V17" s="81" t="str">
        <f>D17+G17+J17</f>
        <v>#REF!</v>
      </c>
      <c r="W17" s="82" t="str">
        <f>IF(AC18=0,0,V17/AC18)</f>
        <v>#REF!</v>
      </c>
      <c r="X17" s="83" t="str">
        <f>Barangays!HM5</f>
        <v>#REF!</v>
      </c>
      <c r="Y17" s="83" t="str">
        <f>Barangays!GX5</f>
        <v>#REF!</v>
      </c>
      <c r="Z17" s="84" t="str">
        <f>X17+Y17</f>
        <v>#REF!</v>
      </c>
      <c r="AA17" s="17"/>
      <c r="AB17" s="17"/>
      <c r="AC17" s="7" t="str">
        <f t="array" ref="AC17">IFERROR(IF(Barangays!$MO$4=1,VLOOKUP($H$9,IF(Mun_City!$B$2:$B$1679=$B$11,Mun_City!$A$2:$G$1679,""),3,0),VLOOKUP(B11,IF(Mun_City!$B$2:$B$1679=H9,Mun_City!$A$2:$G$1679,""),3,0)),"")</f>
        <v/>
      </c>
      <c r="AD17" s="7" t="str">
        <f t="array" ref="AD17">IFERROR(IF(Barangays!$MO$4=1,VLOOKUP($H$9,IF(Mun_City!$B$2:$B$1679=$B$11,Mun_City!$A$2:$G$1679,""),4,0),VLOOKUP(B11,IF(Mun_City!$B$2:$B$1679=H9,Mun_City!$A$2:$G$1679,""),4,0)),"")</f>
        <v/>
      </c>
      <c r="AE17" s="85" t="str">
        <f t="array" ref="AE17">IFERROR(IF(Barangays!$MO$4=1,VLOOKUP($H$9,IF(Mun_City!$B$2:$B$1679=$B$11,Mun_City!$A$2:$G$1679,""),7,0),VLOOKUP(B11,IF(Mun_City!$B$2:$B$1679=H9,Mun_City!$A$2:$G$1679,""),7,0)),"")</f>
        <v/>
      </c>
      <c r="AF17" s="7" t="str">
        <f t="array" ref="AF17">IFERROR(IF(Barangays!$MO$4=1,VLOOKUP($H$9,IF(Mun_City!$B$2:$B$1679=$B$11,Mun_City!$A$2:$G$1679,""),5,0),VLOOKUP(B11,IF(Mun_City!$B$2:$B$1679=H9,Mun_City!$A$2:$G$1679,""),5,0)),"")</f>
        <v/>
      </c>
      <c r="AG17" s="7" t="str">
        <f t="array" ref="AG17">IFERROR(VLOOKUP($H$9,IF(Mun_City!$B$2:$B$1679=$B$11,Mun_City!$A$2:$H$1679,""),8,0),"")</f>
        <v/>
      </c>
      <c r="AH17" s="17"/>
      <c r="AI17" s="17"/>
      <c r="AJ17" s="17"/>
    </row>
    <row r="18">
      <c r="A18" s="76" t="s">
        <v>37</v>
      </c>
      <c r="B18" s="86" t="str">
        <f>IF(OR(Barangays!$X$6="MUAC", Barangays!$X$6=""), "", "No Obese/Overweight classification in the WFA. Following international standards, we use WL/H to classify overweight and obesity in children.")</f>
        <v>#REF!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8"/>
      <c r="AA18" s="17"/>
      <c r="AB18" s="17"/>
      <c r="AC18" s="89" t="str">
        <f>SUM(V17:V21)</f>
        <v>#REF!</v>
      </c>
      <c r="AD18" s="89" t="str">
        <f>SUM(V22:V25)</f>
        <v>#REF!</v>
      </c>
      <c r="AE18" s="89" t="str">
        <f>SUM(V26:V30)</f>
        <v>#REF!</v>
      </c>
      <c r="AF18" s="89" t="str">
        <f>SUM(V31:V33)</f>
        <v>#REF!</v>
      </c>
      <c r="AG18" s="7"/>
      <c r="AH18" s="17"/>
      <c r="AI18" s="17"/>
      <c r="AJ18" s="17"/>
    </row>
    <row r="19">
      <c r="A19" s="76" t="s">
        <v>38</v>
      </c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2"/>
      <c r="AA19" s="17"/>
      <c r="AB19" s="93" t="s">
        <v>39</v>
      </c>
      <c r="AD19" s="93" t="s">
        <v>40</v>
      </c>
      <c r="AE19" s="93" t="s">
        <v>41</v>
      </c>
      <c r="AF19" s="94" t="str">
        <f>SUM(X17,X20,X21)</f>
        <v>#REF!</v>
      </c>
      <c r="AG19" s="93" t="s">
        <v>42</v>
      </c>
      <c r="AH19" s="94" t="str">
        <f>SUM(Y17,Y20:Y21)</f>
        <v>#REF!</v>
      </c>
      <c r="AI19" s="95" t="s">
        <v>34</v>
      </c>
      <c r="AJ19" s="94" t="str">
        <f>SUM(Z17,Z20:Z21)</f>
        <v>#REF!</v>
      </c>
    </row>
    <row r="20">
      <c r="A20" s="76" t="s">
        <v>43</v>
      </c>
      <c r="B20" s="77" t="str">
        <f>Barangays!CS5</f>
        <v>#REF!</v>
      </c>
      <c r="C20" s="77" t="str">
        <f>Barangays!J5</f>
        <v>#REF!</v>
      </c>
      <c r="D20" s="77" t="str">
        <f t="shared" ref="D20:D30" si="1">SUM(B20:C20)</f>
        <v>#REF!</v>
      </c>
      <c r="E20" s="77" t="str">
        <f>Barangays!DE5</f>
        <v>#REF!</v>
      </c>
      <c r="F20" s="77" t="str">
        <f>Barangays!V5</f>
        <v>#REF!</v>
      </c>
      <c r="G20" s="77" t="str">
        <f t="shared" ref="G20:G33" si="2">SUM(E20:F20)</f>
        <v>#REF!</v>
      </c>
      <c r="H20" s="77" t="str">
        <f>Barangays!DT5</f>
        <v>#REF!</v>
      </c>
      <c r="I20" s="77" t="str">
        <f>Barangays!AK5</f>
        <v>#REF!</v>
      </c>
      <c r="J20" s="77" t="str">
        <f t="shared" ref="J20:J33" si="3">SUM(H20:I20)</f>
        <v>#REF!</v>
      </c>
      <c r="K20" s="77" t="str">
        <f>Barangays!EI5</f>
        <v>#REF!</v>
      </c>
      <c r="L20" s="77" t="str">
        <f>Barangays!AZ5</f>
        <v>#REF!</v>
      </c>
      <c r="M20" s="77" t="str">
        <f t="shared" ref="M20:M33" si="4">SUM(K20:L20)</f>
        <v>#REF!</v>
      </c>
      <c r="N20" s="77" t="str">
        <f>Barangays!EX5</f>
        <v>#REF!</v>
      </c>
      <c r="O20" s="77" t="str">
        <f>Barangays!BO5</f>
        <v>#REF!</v>
      </c>
      <c r="P20" s="77" t="str">
        <f t="shared" ref="P20:P33" si="5">SUM(N20:O20)</f>
        <v>#REF!</v>
      </c>
      <c r="Q20" s="77" t="str">
        <f>Barangays!FM5</f>
        <v>#REF!</v>
      </c>
      <c r="R20" s="77" t="str">
        <f>Barangays!CD5</f>
        <v>#REF!</v>
      </c>
      <c r="S20" s="78" t="str">
        <f t="shared" ref="S20:S33" si="6">SUM(Q20:R20)</f>
        <v>#REF!</v>
      </c>
      <c r="T20" s="96" t="str">
        <f t="shared" ref="T20:T33" si="7">D20+G20+J20+M20+P20+S20</f>
        <v>#REF!</v>
      </c>
      <c r="U20" s="97" t="str">
        <f>IF(M14=0,0,T20/M14)</f>
        <v>#REF!</v>
      </c>
      <c r="V20" s="98" t="str">
        <f t="shared" ref="V20:V30" si="8">D20+G20+J20</f>
        <v>#REF!</v>
      </c>
      <c r="W20" s="82" t="str">
        <f>IF(AC18=0,0,V20/AC18)</f>
        <v>#REF!</v>
      </c>
      <c r="X20" s="99" t="str">
        <f>Barangays!HN5</f>
        <v>#REF!</v>
      </c>
      <c r="Y20" s="99" t="str">
        <f>Barangays!GY5</f>
        <v>#REF!</v>
      </c>
      <c r="Z20" s="100" t="str">
        <f t="shared" ref="Z20:Z33" si="9">X20+Y20</f>
        <v>#REF!</v>
      </c>
      <c r="AA20" s="17"/>
      <c r="AB20" s="101"/>
      <c r="AC20" s="101"/>
      <c r="AD20" s="102" t="s">
        <v>44</v>
      </c>
      <c r="AE20" s="102" t="s">
        <v>41</v>
      </c>
      <c r="AF20" s="94" t="str">
        <f>SUM(X22:X25)</f>
        <v>#REF!</v>
      </c>
      <c r="AG20" s="93" t="s">
        <v>42</v>
      </c>
      <c r="AH20" s="94" t="str">
        <f>SUM(Y22:Y25)</f>
        <v>#REF!</v>
      </c>
      <c r="AI20" s="102" t="s">
        <v>34</v>
      </c>
      <c r="AJ20" s="94" t="str">
        <f>SUM(Z22:Z25)</f>
        <v>#REF!</v>
      </c>
    </row>
    <row r="21">
      <c r="A21" s="76" t="s">
        <v>45</v>
      </c>
      <c r="B21" s="77" t="str">
        <f>Barangays!CR5</f>
        <v>#REF!</v>
      </c>
      <c r="C21" s="77" t="str">
        <f>Barangays!I5</f>
        <v>#REF!</v>
      </c>
      <c r="D21" s="77" t="str">
        <f t="shared" si="1"/>
        <v>#REF!</v>
      </c>
      <c r="E21" s="77" t="str">
        <f>Barangays!DD5</f>
        <v>#REF!</v>
      </c>
      <c r="F21" s="77" t="str">
        <f>Barangays!U5</f>
        <v>#REF!</v>
      </c>
      <c r="G21" s="77" t="str">
        <f t="shared" si="2"/>
        <v>#REF!</v>
      </c>
      <c r="H21" s="77" t="str">
        <f>Barangays!DS5</f>
        <v>#REF!</v>
      </c>
      <c r="I21" s="77" t="str">
        <f>Barangays!AJ5</f>
        <v>#REF!</v>
      </c>
      <c r="J21" s="77" t="str">
        <f t="shared" si="3"/>
        <v>#REF!</v>
      </c>
      <c r="K21" s="77" t="str">
        <f>Barangays!EH5</f>
        <v>#REF!</v>
      </c>
      <c r="L21" s="77" t="str">
        <f>Barangays!AY5</f>
        <v>#REF!</v>
      </c>
      <c r="M21" s="77" t="str">
        <f t="shared" si="4"/>
        <v>#REF!</v>
      </c>
      <c r="N21" s="77" t="str">
        <f>Barangays!EW5</f>
        <v>#REF!</v>
      </c>
      <c r="O21" s="77" t="str">
        <f>Barangays!BN5</f>
        <v>#REF!</v>
      </c>
      <c r="P21" s="77" t="str">
        <f t="shared" si="5"/>
        <v>#REF!</v>
      </c>
      <c r="Q21" s="77" t="str">
        <f>Barangays!FL5</f>
        <v>#REF!</v>
      </c>
      <c r="R21" s="77" t="str">
        <f>Barangays!CC5</f>
        <v>#REF!</v>
      </c>
      <c r="S21" s="78" t="str">
        <f t="shared" si="6"/>
        <v>#REF!</v>
      </c>
      <c r="T21" s="103" t="str">
        <f t="shared" si="7"/>
        <v>#REF!</v>
      </c>
      <c r="U21" s="104" t="str">
        <f>IF(M14=0,0,T21/M14)</f>
        <v>#REF!</v>
      </c>
      <c r="V21" s="98" t="str">
        <f t="shared" si="8"/>
        <v>#REF!</v>
      </c>
      <c r="W21" s="82" t="str">
        <f>IF(AC18=0,0,V21/AC18)</f>
        <v>#REF!</v>
      </c>
      <c r="X21" s="99" t="str">
        <f>Barangays!HO5</f>
        <v>#REF!</v>
      </c>
      <c r="Y21" s="99" t="str">
        <f>Barangays!GZ5</f>
        <v>#REF!</v>
      </c>
      <c r="Z21" s="84" t="str">
        <f t="shared" si="9"/>
        <v>#REF!</v>
      </c>
      <c r="AA21" s="17"/>
      <c r="AB21" s="17"/>
      <c r="AC21" s="17"/>
      <c r="AD21" s="102" t="s">
        <v>46</v>
      </c>
      <c r="AE21" s="102" t="s">
        <v>41</v>
      </c>
      <c r="AF21" s="94" t="str">
        <f>SUM(X26:X30)</f>
        <v>#REF!</v>
      </c>
      <c r="AG21" s="102" t="s">
        <v>41</v>
      </c>
      <c r="AH21" s="94" t="str">
        <f>SUM(Y26:Y30)</f>
        <v>#REF!</v>
      </c>
      <c r="AI21" s="102" t="s">
        <v>34</v>
      </c>
      <c r="AJ21" s="94" t="str">
        <f>SUM(Z26:Z30)</f>
        <v>#REF!</v>
      </c>
    </row>
    <row r="22">
      <c r="A22" s="105" t="s">
        <v>47</v>
      </c>
      <c r="B22" s="106" t="str">
        <f>Barangays!CT5</f>
        <v>#REF!</v>
      </c>
      <c r="C22" s="106" t="str">
        <f>Barangays!K5</f>
        <v>#REF!</v>
      </c>
      <c r="D22" s="106" t="str">
        <f t="shared" si="1"/>
        <v>#REF!</v>
      </c>
      <c r="E22" s="106" t="str">
        <f>Barangays!DF5</f>
        <v>#REF!</v>
      </c>
      <c r="F22" s="106" t="str">
        <f>Barangays!W5</f>
        <v>#REF!</v>
      </c>
      <c r="G22" s="106" t="str">
        <f t="shared" si="2"/>
        <v>#REF!</v>
      </c>
      <c r="H22" s="106" t="str">
        <f>Barangays!DU5</f>
        <v>#REF!</v>
      </c>
      <c r="I22" s="106" t="str">
        <f>Barangays!AL5</f>
        <v>#REF!</v>
      </c>
      <c r="J22" s="106" t="str">
        <f t="shared" si="3"/>
        <v>#REF!</v>
      </c>
      <c r="K22" s="106" t="str">
        <f>Barangays!EJ5</f>
        <v>#REF!</v>
      </c>
      <c r="L22" s="106" t="str">
        <f>Barangays!BA5</f>
        <v>#REF!</v>
      </c>
      <c r="M22" s="106" t="str">
        <f t="shared" si="4"/>
        <v>#REF!</v>
      </c>
      <c r="N22" s="106" t="str">
        <f>Barangays!EY5</f>
        <v>#REF!</v>
      </c>
      <c r="O22" s="106" t="str">
        <f>Barangays!BP5</f>
        <v>#REF!</v>
      </c>
      <c r="P22" s="106" t="str">
        <f t="shared" si="5"/>
        <v>#REF!</v>
      </c>
      <c r="Q22" s="106" t="str">
        <f>Barangays!FN5</f>
        <v>#REF!</v>
      </c>
      <c r="R22" s="106" t="str">
        <f>Barangays!CE5</f>
        <v>#REF!</v>
      </c>
      <c r="S22" s="106" t="str">
        <f t="shared" si="6"/>
        <v>#REF!</v>
      </c>
      <c r="T22" s="107" t="str">
        <f t="shared" si="7"/>
        <v>#REF!</v>
      </c>
      <c r="U22" s="108" t="str">
        <f>IF(P14=0,0,T22/P14)</f>
        <v>#REF!</v>
      </c>
      <c r="V22" s="109" t="str">
        <f t="shared" si="8"/>
        <v>#REF!</v>
      </c>
      <c r="W22" s="110" t="str">
        <f>IF(AD18=0,0,V22/AD18)</f>
        <v>#REF!</v>
      </c>
      <c r="X22" s="111" t="str">
        <f>Barangays!HP5</f>
        <v>#REF!</v>
      </c>
      <c r="Y22" s="111" t="str">
        <f>Barangays!HA5</f>
        <v>#REF!</v>
      </c>
      <c r="Z22" s="112" t="str">
        <f t="shared" si="9"/>
        <v>#REF!</v>
      </c>
      <c r="AA22" s="17"/>
      <c r="AB22" s="17"/>
      <c r="AC22" s="113" t="s">
        <v>48</v>
      </c>
      <c r="AD22" s="94" t="str">
        <f>SUM(T31:T33)</f>
        <v>#REF!</v>
      </c>
      <c r="AE22" s="102" t="s">
        <v>41</v>
      </c>
      <c r="AF22" s="94" t="str">
        <f>SUM(X31:X33)</f>
        <v>#REF!</v>
      </c>
      <c r="AG22" s="102" t="s">
        <v>41</v>
      </c>
      <c r="AH22" s="94" t="str">
        <f>SUM(Y31:Y33)</f>
        <v>#REF!</v>
      </c>
      <c r="AI22" s="102" t="s">
        <v>34</v>
      </c>
      <c r="AJ22" s="94" t="str">
        <f>SUM(Z31:Z33)</f>
        <v>#REF!</v>
      </c>
    </row>
    <row r="23">
      <c r="A23" s="105" t="s">
        <v>49</v>
      </c>
      <c r="B23" s="106" t="str">
        <f>Barangays!CW5</f>
        <v>#REF!</v>
      </c>
      <c r="C23" s="106" t="str">
        <f>Barangays!N5</f>
        <v>#REF!</v>
      </c>
      <c r="D23" s="106" t="str">
        <f t="shared" si="1"/>
        <v>#REF!</v>
      </c>
      <c r="E23" s="106" t="str">
        <f>Barangays!DI5</f>
        <v>#REF!</v>
      </c>
      <c r="F23" s="106" t="str">
        <f>Barangays!Z5</f>
        <v>#REF!</v>
      </c>
      <c r="G23" s="106" t="str">
        <f t="shared" si="2"/>
        <v>#REF!</v>
      </c>
      <c r="H23" s="106" t="str">
        <f>Barangays!DX5</f>
        <v>#REF!</v>
      </c>
      <c r="I23" s="106" t="str">
        <f>Barangays!AO5</f>
        <v>#REF!</v>
      </c>
      <c r="J23" s="106" t="str">
        <f t="shared" si="3"/>
        <v>#REF!</v>
      </c>
      <c r="K23" s="106" t="str">
        <f>Barangays!EM5</f>
        <v>#REF!</v>
      </c>
      <c r="L23" s="106" t="str">
        <f>Barangays!BD5</f>
        <v>#REF!</v>
      </c>
      <c r="M23" s="106" t="str">
        <f t="shared" si="4"/>
        <v>#REF!</v>
      </c>
      <c r="N23" s="106" t="str">
        <f>Barangays!FB5</f>
        <v>#REF!</v>
      </c>
      <c r="O23" s="106" t="str">
        <f>Barangays!BS5</f>
        <v>#REF!</v>
      </c>
      <c r="P23" s="106" t="str">
        <f t="shared" si="5"/>
        <v>#REF!</v>
      </c>
      <c r="Q23" s="106" t="str">
        <f>Barangays!FQ5</f>
        <v>#REF!</v>
      </c>
      <c r="R23" s="106" t="str">
        <f>Barangays!CH5</f>
        <v>#REF!</v>
      </c>
      <c r="S23" s="106" t="str">
        <f t="shared" si="6"/>
        <v>#REF!</v>
      </c>
      <c r="T23" s="114" t="str">
        <f t="shared" si="7"/>
        <v>#REF!</v>
      </c>
      <c r="U23" s="115" t="str">
        <f>IF(P14=0,0,T23/P14)</f>
        <v>#REF!</v>
      </c>
      <c r="V23" s="109" t="str">
        <f t="shared" si="8"/>
        <v>#REF!</v>
      </c>
      <c r="W23" s="110" t="str">
        <f>IF(AD18=0,0,V23/AD18)</f>
        <v>#REF!</v>
      </c>
      <c r="X23" s="111" t="str">
        <f>Barangays!HQ5</f>
        <v>#REF!</v>
      </c>
      <c r="Y23" s="111" t="str">
        <f>Barangays!HB5</f>
        <v>#REF!</v>
      </c>
      <c r="Z23" s="112" t="str">
        <f t="shared" si="9"/>
        <v>#REF!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</row>
    <row r="24">
      <c r="A24" s="105" t="s">
        <v>50</v>
      </c>
      <c r="B24" s="106" t="str">
        <f>Barangays!CV5</f>
        <v>#REF!</v>
      </c>
      <c r="C24" s="106" t="str">
        <f>Barangays!M5</f>
        <v>#REF!</v>
      </c>
      <c r="D24" s="106" t="str">
        <f t="shared" si="1"/>
        <v>#REF!</v>
      </c>
      <c r="E24" s="106" t="str">
        <f>Barangays!DH5</f>
        <v>#REF!</v>
      </c>
      <c r="F24" s="106" t="str">
        <f>Barangays!Y5</f>
        <v>#REF!</v>
      </c>
      <c r="G24" s="106" t="str">
        <f t="shared" si="2"/>
        <v>#REF!</v>
      </c>
      <c r="H24" s="106" t="str">
        <f>Barangays!DW5</f>
        <v>#REF!</v>
      </c>
      <c r="I24" s="106" t="str">
        <f>Barangays!AN5</f>
        <v>#REF!</v>
      </c>
      <c r="J24" s="106" t="str">
        <f t="shared" si="3"/>
        <v>#REF!</v>
      </c>
      <c r="K24" s="106" t="str">
        <f>Barangays!EL5</f>
        <v>#REF!</v>
      </c>
      <c r="L24" s="106" t="str">
        <f>Barangays!BC5</f>
        <v>#REF!</v>
      </c>
      <c r="M24" s="106" t="str">
        <f t="shared" si="4"/>
        <v>#REF!</v>
      </c>
      <c r="N24" s="106" t="str">
        <f>Barangays!FA5</f>
        <v>#REF!</v>
      </c>
      <c r="O24" s="106" t="str">
        <f>Barangays!BR5</f>
        <v>#REF!</v>
      </c>
      <c r="P24" s="106" t="str">
        <f t="shared" si="5"/>
        <v>#REF!</v>
      </c>
      <c r="Q24" s="106" t="str">
        <f>Barangays!FP5</f>
        <v>#REF!</v>
      </c>
      <c r="R24" s="106" t="str">
        <f>Barangays!CG5</f>
        <v>#REF!</v>
      </c>
      <c r="S24" s="106" t="str">
        <f t="shared" si="6"/>
        <v>#REF!</v>
      </c>
      <c r="T24" s="114" t="str">
        <f t="shared" si="7"/>
        <v>#REF!</v>
      </c>
      <c r="U24" s="115" t="str">
        <f>IF(P14=0,0,T24/P14)</f>
        <v>#REF!</v>
      </c>
      <c r="V24" s="109" t="str">
        <f t="shared" si="8"/>
        <v>#REF!</v>
      </c>
      <c r="W24" s="110" t="str">
        <f>IF(AD18=0,0,V24/AD18)</f>
        <v>#REF!</v>
      </c>
      <c r="X24" s="111" t="str">
        <f>Barangays!HR5</f>
        <v>#REF!</v>
      </c>
      <c r="Y24" s="111" t="str">
        <f>Barangays!HC5</f>
        <v>#REF!</v>
      </c>
      <c r="Z24" s="112" t="str">
        <f t="shared" si="9"/>
        <v>#REF!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</row>
    <row r="25">
      <c r="A25" s="105" t="s">
        <v>51</v>
      </c>
      <c r="B25" s="106" t="str">
        <f>Barangays!CU5</f>
        <v>#REF!</v>
      </c>
      <c r="C25" s="106" t="str">
        <f>Barangays!L5</f>
        <v>#REF!</v>
      </c>
      <c r="D25" s="106" t="str">
        <f t="shared" si="1"/>
        <v>#REF!</v>
      </c>
      <c r="E25" s="106" t="str">
        <f>Barangays!DG5</f>
        <v>#REF!</v>
      </c>
      <c r="F25" s="106" t="str">
        <f>Barangays!X5</f>
        <v>#REF!</v>
      </c>
      <c r="G25" s="106" t="str">
        <f t="shared" si="2"/>
        <v>#REF!</v>
      </c>
      <c r="H25" s="106" t="str">
        <f>Barangays!DV5</f>
        <v>#REF!</v>
      </c>
      <c r="I25" s="106" t="str">
        <f>Barangays!AM5</f>
        <v>#REF!</v>
      </c>
      <c r="J25" s="106" t="str">
        <f t="shared" si="3"/>
        <v>#REF!</v>
      </c>
      <c r="K25" s="106" t="str">
        <f>Barangays!EK5</f>
        <v>#REF!</v>
      </c>
      <c r="L25" s="106" t="str">
        <f>Barangays!BB5</f>
        <v>#REF!</v>
      </c>
      <c r="M25" s="106" t="str">
        <f t="shared" si="4"/>
        <v>#REF!</v>
      </c>
      <c r="N25" s="106" t="str">
        <f>Barangays!EZ5</f>
        <v>#REF!</v>
      </c>
      <c r="O25" s="106" t="str">
        <f>Barangays!BQ5</f>
        <v>#REF!</v>
      </c>
      <c r="P25" s="106" t="str">
        <f t="shared" si="5"/>
        <v>#REF!</v>
      </c>
      <c r="Q25" s="106" t="str">
        <f>Barangays!FO5</f>
        <v>#REF!</v>
      </c>
      <c r="R25" s="106" t="str">
        <f>Barangays!CF5</f>
        <v>#REF!</v>
      </c>
      <c r="S25" s="106" t="str">
        <f t="shared" si="6"/>
        <v>#REF!</v>
      </c>
      <c r="T25" s="114" t="str">
        <f t="shared" si="7"/>
        <v>#REF!</v>
      </c>
      <c r="U25" s="115" t="str">
        <f>IF(P14=0,0,T25/P14)</f>
        <v>#REF!</v>
      </c>
      <c r="V25" s="109" t="str">
        <f t="shared" si="8"/>
        <v>#REF!</v>
      </c>
      <c r="W25" s="110" t="str">
        <f>IF(AD18=0,0,V25/AD18)</f>
        <v>#REF!</v>
      </c>
      <c r="X25" s="111" t="str">
        <f>Barangays!HS5</f>
        <v>#REF!</v>
      </c>
      <c r="Y25" s="111" t="str">
        <f>Barangays!HD5</f>
        <v>#REF!</v>
      </c>
      <c r="Z25" s="112" t="str">
        <f t="shared" si="9"/>
        <v>#REF!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</row>
    <row r="26">
      <c r="A26" s="76" t="s">
        <v>52</v>
      </c>
      <c r="B26" s="77" t="str">
        <f>Barangays!CX5</f>
        <v>#REF!</v>
      </c>
      <c r="C26" s="77" t="str">
        <f>Barangays!O5</f>
        <v>#REF!</v>
      </c>
      <c r="D26" s="77" t="str">
        <f t="shared" si="1"/>
        <v>#REF!</v>
      </c>
      <c r="E26" s="77" t="str">
        <f>Barangays!DJ5</f>
        <v>#REF!</v>
      </c>
      <c r="F26" s="77" t="str">
        <f>Barangays!AA5</f>
        <v>#REF!</v>
      </c>
      <c r="G26" s="77" t="str">
        <f t="shared" si="2"/>
        <v>#REF!</v>
      </c>
      <c r="H26" s="77" t="str">
        <f>Barangays!DY5</f>
        <v>#REF!</v>
      </c>
      <c r="I26" s="77" t="str">
        <f>Barangays!AP5</f>
        <v>#REF!</v>
      </c>
      <c r="J26" s="77" t="str">
        <f t="shared" si="3"/>
        <v>#REF!</v>
      </c>
      <c r="K26" s="77" t="str">
        <f>Barangays!EN5</f>
        <v>#REF!</v>
      </c>
      <c r="L26" s="77" t="str">
        <f>Barangays!BE5</f>
        <v>#REF!</v>
      </c>
      <c r="M26" s="77" t="str">
        <f t="shared" si="4"/>
        <v>#REF!</v>
      </c>
      <c r="N26" s="77" t="str">
        <f>Barangays!FC5</f>
        <v>#REF!</v>
      </c>
      <c r="O26" s="77" t="str">
        <f>Barangays!BT5</f>
        <v>#REF!</v>
      </c>
      <c r="P26" s="77" t="str">
        <f t="shared" si="5"/>
        <v>#REF!</v>
      </c>
      <c r="Q26" s="77" t="str">
        <f>Barangays!FR5</f>
        <v>#REF!</v>
      </c>
      <c r="R26" s="77" t="str">
        <f>Barangays!CI5</f>
        <v>#REF!</v>
      </c>
      <c r="S26" s="78" t="str">
        <f t="shared" si="6"/>
        <v>#REF!</v>
      </c>
      <c r="T26" s="116" t="str">
        <f t="shared" si="7"/>
        <v>#REF!</v>
      </c>
      <c r="U26" s="80" t="str">
        <f>IF(S14=0,0,T26/S14)</f>
        <v>#REF!</v>
      </c>
      <c r="V26" s="98" t="str">
        <f t="shared" si="8"/>
        <v>#REF!</v>
      </c>
      <c r="W26" s="82" t="str">
        <f>IF(AE18=0,0,V26/AE18)</f>
        <v>#REF!</v>
      </c>
      <c r="X26" s="99" t="str">
        <f>Barangays!HT5</f>
        <v>#REF!</v>
      </c>
      <c r="Y26" s="99" t="str">
        <f>Barangays!HE5</f>
        <v>#REF!</v>
      </c>
      <c r="Z26" s="84" t="str">
        <f t="shared" si="9"/>
        <v>#REF!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</row>
    <row r="27">
      <c r="A27" s="76" t="s">
        <v>53</v>
      </c>
      <c r="B27" s="77" t="str">
        <f>Barangays!CY5</f>
        <v>#REF!</v>
      </c>
      <c r="C27" s="77" t="str">
        <f>Barangays!P5</f>
        <v>#REF!</v>
      </c>
      <c r="D27" s="77" t="str">
        <f t="shared" si="1"/>
        <v>#REF!</v>
      </c>
      <c r="E27" s="77" t="str">
        <f>Barangays!DK5</f>
        <v>#REF!</v>
      </c>
      <c r="F27" s="77" t="str">
        <f>Barangays!AB5</f>
        <v>#REF!</v>
      </c>
      <c r="G27" s="77" t="str">
        <f t="shared" si="2"/>
        <v>#REF!</v>
      </c>
      <c r="H27" s="77" t="str">
        <f>Barangays!DZ5</f>
        <v>#REF!</v>
      </c>
      <c r="I27" s="77" t="str">
        <f>Barangays!AQ5</f>
        <v>#REF!</v>
      </c>
      <c r="J27" s="77" t="str">
        <f t="shared" si="3"/>
        <v>#REF!</v>
      </c>
      <c r="K27" s="77" t="str">
        <f>Barangays!EO5</f>
        <v>#REF!</v>
      </c>
      <c r="L27" s="77" t="str">
        <f>Barangays!BF5</f>
        <v>#REF!</v>
      </c>
      <c r="M27" s="77" t="str">
        <f t="shared" si="4"/>
        <v>#REF!</v>
      </c>
      <c r="N27" s="77" t="str">
        <f>Barangays!FD5</f>
        <v>#REF!</v>
      </c>
      <c r="O27" s="77" t="str">
        <f>Barangays!BU5</f>
        <v>#REF!</v>
      </c>
      <c r="P27" s="77" t="str">
        <f t="shared" si="5"/>
        <v>#REF!</v>
      </c>
      <c r="Q27" s="77" t="str">
        <f>Barangays!FS5</f>
        <v>#REF!</v>
      </c>
      <c r="R27" s="77" t="str">
        <f>Barangays!CJ5</f>
        <v>#REF!</v>
      </c>
      <c r="S27" s="78" t="str">
        <f t="shared" si="6"/>
        <v>#REF!</v>
      </c>
      <c r="T27" s="117" t="str">
        <f t="shared" si="7"/>
        <v>#REF!</v>
      </c>
      <c r="U27" s="97" t="str">
        <f>IF(S14=0,0,T27/S14)</f>
        <v>#REF!</v>
      </c>
      <c r="V27" s="98" t="str">
        <f t="shared" si="8"/>
        <v>#REF!</v>
      </c>
      <c r="W27" s="82" t="str">
        <f>IF(AE18=0,0,V27/AE18)</f>
        <v>#REF!</v>
      </c>
      <c r="X27" s="99" t="str">
        <f>Barangays!HU5</f>
        <v>#REF!</v>
      </c>
      <c r="Y27" s="99" t="str">
        <f>Barangays!HF5</f>
        <v>#REF!</v>
      </c>
      <c r="Z27" s="84" t="str">
        <f t="shared" si="9"/>
        <v>#REF!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</row>
    <row r="28">
      <c r="A28" s="76" t="s">
        <v>54</v>
      </c>
      <c r="B28" s="77" t="str">
        <f>Barangays!CZ5</f>
        <v>#REF!</v>
      </c>
      <c r="C28" s="77" t="str">
        <f>Barangays!Q5</f>
        <v>#REF!</v>
      </c>
      <c r="D28" s="77" t="str">
        <f t="shared" si="1"/>
        <v>#REF!</v>
      </c>
      <c r="E28" s="77" t="str">
        <f>Barangays!DL5</f>
        <v>#REF!</v>
      </c>
      <c r="F28" s="77" t="str">
        <f>Barangays!AC5</f>
        <v>#REF!</v>
      </c>
      <c r="G28" s="77" t="str">
        <f t="shared" si="2"/>
        <v>#REF!</v>
      </c>
      <c r="H28" s="77" t="str">
        <f>Barangays!EA5</f>
        <v>#REF!</v>
      </c>
      <c r="I28" s="77" t="str">
        <f>Barangays!AR5</f>
        <v>#REF!</v>
      </c>
      <c r="J28" s="77" t="str">
        <f t="shared" si="3"/>
        <v>#REF!</v>
      </c>
      <c r="K28" s="77" t="str">
        <f>Barangays!EP5</f>
        <v>#REF!</v>
      </c>
      <c r="L28" s="77" t="str">
        <f>Barangays!BG5</f>
        <v>#REF!</v>
      </c>
      <c r="M28" s="77" t="str">
        <f t="shared" si="4"/>
        <v>#REF!</v>
      </c>
      <c r="N28" s="77" t="str">
        <f>Barangays!FE5</f>
        <v>#REF!</v>
      </c>
      <c r="O28" s="77" t="str">
        <f>Barangays!BV5</f>
        <v>#REF!</v>
      </c>
      <c r="P28" s="77" t="str">
        <f t="shared" si="5"/>
        <v>#REF!</v>
      </c>
      <c r="Q28" s="77" t="str">
        <f>Barangays!FT5</f>
        <v>#REF!</v>
      </c>
      <c r="R28" s="77" t="str">
        <f>Barangays!CK5</f>
        <v>#REF!</v>
      </c>
      <c r="S28" s="78" t="str">
        <f t="shared" si="6"/>
        <v>#REF!</v>
      </c>
      <c r="T28" s="117" t="str">
        <f t="shared" si="7"/>
        <v>#REF!</v>
      </c>
      <c r="U28" s="97" t="str">
        <f>IF(S14=0,0,T28/S14)</f>
        <v>#REF!</v>
      </c>
      <c r="V28" s="98" t="str">
        <f t="shared" si="8"/>
        <v>#REF!</v>
      </c>
      <c r="W28" s="82" t="str">
        <f>IF(AE18=0,0,V28/AE18)</f>
        <v>#REF!</v>
      </c>
      <c r="X28" s="99" t="str">
        <f>Barangays!HV5</f>
        <v>#REF!</v>
      </c>
      <c r="Y28" s="99" t="str">
        <f>Barangays!HG5</f>
        <v>#REF!</v>
      </c>
      <c r="Z28" s="84" t="str">
        <f t="shared" si="9"/>
        <v>#REF!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</row>
    <row r="29">
      <c r="A29" s="76" t="s">
        <v>55</v>
      </c>
      <c r="B29" s="77" t="str">
        <f>Barangays!DB5</f>
        <v>#REF!</v>
      </c>
      <c r="C29" s="77" t="str">
        <f>Barangays!S5</f>
        <v>#REF!</v>
      </c>
      <c r="D29" s="77" t="str">
        <f t="shared" si="1"/>
        <v>#REF!</v>
      </c>
      <c r="E29" s="77" t="str">
        <f>Barangays!DN5</f>
        <v>#REF!</v>
      </c>
      <c r="F29" s="77" t="str">
        <f>Barangays!AE5</f>
        <v>#REF!</v>
      </c>
      <c r="G29" s="77" t="str">
        <f t="shared" si="2"/>
        <v>#REF!</v>
      </c>
      <c r="H29" s="77" t="str">
        <f>Barangays!EC5</f>
        <v>#REF!</v>
      </c>
      <c r="I29" s="77" t="str">
        <f>Barangays!AT5</f>
        <v>#REF!</v>
      </c>
      <c r="J29" s="77" t="str">
        <f t="shared" si="3"/>
        <v>#REF!</v>
      </c>
      <c r="K29" s="77" t="str">
        <f>Barangays!ER5</f>
        <v>#REF!</v>
      </c>
      <c r="L29" s="77" t="str">
        <f>Barangays!BI5</f>
        <v>#REF!</v>
      </c>
      <c r="M29" s="77" t="str">
        <f t="shared" si="4"/>
        <v>#REF!</v>
      </c>
      <c r="N29" s="77" t="str">
        <f>Barangays!FG5</f>
        <v>#REF!</v>
      </c>
      <c r="O29" s="77" t="str">
        <f>Barangays!BX5</f>
        <v>#REF!</v>
      </c>
      <c r="P29" s="77" t="str">
        <f t="shared" si="5"/>
        <v>#REF!</v>
      </c>
      <c r="Q29" s="77" t="str">
        <f>Barangays!FV5</f>
        <v>#REF!</v>
      </c>
      <c r="R29" s="77" t="str">
        <f>Barangays!CM5</f>
        <v>#REF!</v>
      </c>
      <c r="S29" s="78" t="str">
        <f t="shared" si="6"/>
        <v>#REF!</v>
      </c>
      <c r="T29" s="117" t="str">
        <f t="shared" si="7"/>
        <v>#REF!</v>
      </c>
      <c r="U29" s="97" t="str">
        <f>IF(S14=0,0,T29/S14)</f>
        <v>#REF!</v>
      </c>
      <c r="V29" s="98" t="str">
        <f t="shared" si="8"/>
        <v>#REF!</v>
      </c>
      <c r="W29" s="82" t="str">
        <f>IF(AE18=0,0,V29/AE18)</f>
        <v>#REF!</v>
      </c>
      <c r="X29" s="99" t="str">
        <f>Barangays!HW5</f>
        <v>#REF!</v>
      </c>
      <c r="Y29" s="99" t="str">
        <f>Barangays!HH5</f>
        <v>#REF!</v>
      </c>
      <c r="Z29" s="84" t="str">
        <f t="shared" si="9"/>
        <v>#REF!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</row>
    <row r="30">
      <c r="A30" s="76" t="s">
        <v>56</v>
      </c>
      <c r="B30" s="77" t="str">
        <f>Barangays!DA5</f>
        <v>#REF!</v>
      </c>
      <c r="C30" s="77" t="str">
        <f>Barangays!R5</f>
        <v>#REF!</v>
      </c>
      <c r="D30" s="77" t="str">
        <f t="shared" si="1"/>
        <v>#REF!</v>
      </c>
      <c r="E30" s="77" t="str">
        <f>Barangays!DM5</f>
        <v>#REF!</v>
      </c>
      <c r="F30" s="77" t="str">
        <f>Barangays!AD5</f>
        <v>#REF!</v>
      </c>
      <c r="G30" s="77" t="str">
        <f t="shared" si="2"/>
        <v>#REF!</v>
      </c>
      <c r="H30" s="77" t="str">
        <f>Barangays!EB5</f>
        <v>#REF!</v>
      </c>
      <c r="I30" s="77" t="str">
        <f>Barangays!AS5</f>
        <v>#REF!</v>
      </c>
      <c r="J30" s="77" t="str">
        <f t="shared" si="3"/>
        <v>#REF!</v>
      </c>
      <c r="K30" s="77" t="str">
        <f>Barangays!EQ5</f>
        <v>#REF!</v>
      </c>
      <c r="L30" s="77" t="str">
        <f>Barangays!BH5</f>
        <v>#REF!</v>
      </c>
      <c r="M30" s="77" t="str">
        <f t="shared" si="4"/>
        <v>#REF!</v>
      </c>
      <c r="N30" s="77" t="str">
        <f>Barangays!FF5</f>
        <v>#REF!</v>
      </c>
      <c r="O30" s="77" t="str">
        <f>Barangays!BW5</f>
        <v>#REF!</v>
      </c>
      <c r="P30" s="77" t="str">
        <f t="shared" si="5"/>
        <v>#REF!</v>
      </c>
      <c r="Q30" s="77" t="str">
        <f>Barangays!FU5</f>
        <v>#REF!</v>
      </c>
      <c r="R30" s="77" t="str">
        <f>Barangays!CL5</f>
        <v>#REF!</v>
      </c>
      <c r="S30" s="78" t="str">
        <f t="shared" si="6"/>
        <v>#REF!</v>
      </c>
      <c r="T30" s="118" t="str">
        <f t="shared" si="7"/>
        <v>#REF!</v>
      </c>
      <c r="U30" s="119" t="str">
        <f>IF(S14=0,0,T30/S14)</f>
        <v>#REF!</v>
      </c>
      <c r="V30" s="98" t="str">
        <f t="shared" si="8"/>
        <v>#REF!</v>
      </c>
      <c r="W30" s="82" t="str">
        <f>IF(AE18=0,0,V30/AE18)</f>
        <v>#REF!</v>
      </c>
      <c r="X30" s="99" t="str">
        <f>Barangays!HX5</f>
        <v>#REF!</v>
      </c>
      <c r="Y30" s="99" t="str">
        <f>Barangays!HI5</f>
        <v>#REF!</v>
      </c>
      <c r="Z30" s="84" t="str">
        <f t="shared" si="9"/>
        <v>#REF!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</row>
    <row r="31">
      <c r="A31" s="120" t="s">
        <v>57</v>
      </c>
      <c r="B31" s="121"/>
      <c r="C31" s="121"/>
      <c r="D31" s="121"/>
      <c r="E31" s="122" t="str">
        <f>Barangays!DO5</f>
        <v>#REF!</v>
      </c>
      <c r="F31" s="122" t="str">
        <f>Barangays!AF5</f>
        <v>#REF!</v>
      </c>
      <c r="G31" s="122" t="str">
        <f t="shared" si="2"/>
        <v>#REF!</v>
      </c>
      <c r="H31" s="122" t="str">
        <f>Barangays!ED5</f>
        <v>#REF!</v>
      </c>
      <c r="I31" s="122" t="str">
        <f>Barangays!AU5</f>
        <v>#REF!</v>
      </c>
      <c r="J31" s="122" t="str">
        <f t="shared" si="3"/>
        <v>#REF!</v>
      </c>
      <c r="K31" s="122" t="str">
        <f>Barangays!ES5</f>
        <v>#REF!</v>
      </c>
      <c r="L31" s="122" t="str">
        <f>Barangays!BJ5</f>
        <v>#REF!</v>
      </c>
      <c r="M31" s="122" t="str">
        <f t="shared" si="4"/>
        <v>#REF!</v>
      </c>
      <c r="N31" s="122" t="str">
        <f>Barangays!FH5</f>
        <v>#REF!</v>
      </c>
      <c r="O31" s="122" t="str">
        <f>Barangays!BY5</f>
        <v>#REF!</v>
      </c>
      <c r="P31" s="122" t="str">
        <f t="shared" si="5"/>
        <v>#REF!</v>
      </c>
      <c r="Q31" s="122" t="str">
        <f>Barangays!FW5</f>
        <v>#REF!</v>
      </c>
      <c r="R31" s="122" t="str">
        <f>Barangays!CN5</f>
        <v>#REF!</v>
      </c>
      <c r="S31" s="122" t="str">
        <f t="shared" si="6"/>
        <v>#REF!</v>
      </c>
      <c r="T31" s="123" t="str">
        <f t="shared" si="7"/>
        <v>#REF!</v>
      </c>
      <c r="U31" s="124" t="str">
        <f>IF(J14=0,0,T31/J14)</f>
        <v>#REF!</v>
      </c>
      <c r="V31" s="122" t="str">
        <f t="shared" ref="V31:V33" si="10">G31+J31</f>
        <v>#REF!</v>
      </c>
      <c r="W31" s="125" t="str">
        <f>IF(AF18=0,0,V31/AF18)</f>
        <v>#REF!</v>
      </c>
      <c r="X31" s="111" t="str">
        <f>Barangays!HY5</f>
        <v>#REF!</v>
      </c>
      <c r="Y31" s="111" t="str">
        <f>Barangays!HJ5</f>
        <v>#REF!</v>
      </c>
      <c r="Z31" s="112" t="str">
        <f t="shared" si="9"/>
        <v>#REF!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</row>
    <row r="32">
      <c r="A32" s="120" t="s">
        <v>58</v>
      </c>
      <c r="B32" s="121"/>
      <c r="C32" s="121"/>
      <c r="D32" s="121"/>
      <c r="E32" s="122" t="str">
        <f>Barangays!DP5</f>
        <v>#REF!</v>
      </c>
      <c r="F32" s="122" t="str">
        <f>Barangays!AG5</f>
        <v>#REF!</v>
      </c>
      <c r="G32" s="122" t="str">
        <f t="shared" si="2"/>
        <v>#REF!</v>
      </c>
      <c r="H32" s="122" t="str">
        <f>Barangays!EE5</f>
        <v>#REF!</v>
      </c>
      <c r="I32" s="122" t="str">
        <f>Barangays!AV5</f>
        <v>#REF!</v>
      </c>
      <c r="J32" s="122" t="str">
        <f t="shared" si="3"/>
        <v>#REF!</v>
      </c>
      <c r="K32" s="122" t="str">
        <f>Barangays!ET5</f>
        <v>#REF!</v>
      </c>
      <c r="L32" s="122" t="str">
        <f>Barangays!BK5</f>
        <v>#REF!</v>
      </c>
      <c r="M32" s="122" t="str">
        <f t="shared" si="4"/>
        <v>#REF!</v>
      </c>
      <c r="N32" s="122" t="str">
        <f>Barangays!FI5</f>
        <v>#REF!</v>
      </c>
      <c r="O32" s="122" t="str">
        <f>Barangays!BZ5</f>
        <v>#REF!</v>
      </c>
      <c r="P32" s="122" t="str">
        <f t="shared" si="5"/>
        <v>#REF!</v>
      </c>
      <c r="Q32" s="122" t="str">
        <f>Barangays!FX5</f>
        <v>#REF!</v>
      </c>
      <c r="R32" s="122" t="str">
        <f>Barangays!CO5</f>
        <v>#REF!</v>
      </c>
      <c r="S32" s="122" t="str">
        <f t="shared" si="6"/>
        <v>#REF!</v>
      </c>
      <c r="T32" s="123" t="str">
        <f t="shared" si="7"/>
        <v>#REF!</v>
      </c>
      <c r="U32" s="124" t="str">
        <f>IF(J14=0,0,T32/J14)</f>
        <v>#REF!</v>
      </c>
      <c r="V32" s="122" t="str">
        <f t="shared" si="10"/>
        <v>#REF!</v>
      </c>
      <c r="W32" s="125" t="str">
        <f>IF(AF18=0,0,V32/AF18)</f>
        <v>#REF!</v>
      </c>
      <c r="X32" s="111" t="str">
        <f>Barangays!HZ5</f>
        <v>#REF!</v>
      </c>
      <c r="Y32" s="111" t="str">
        <f>Barangays!HK5</f>
        <v>#REF!</v>
      </c>
      <c r="Z32" s="112" t="str">
        <f t="shared" si="9"/>
        <v>#REF!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</row>
    <row r="33">
      <c r="A33" s="120" t="s">
        <v>59</v>
      </c>
      <c r="B33" s="121"/>
      <c r="C33" s="121"/>
      <c r="D33" s="121"/>
      <c r="E33" s="122" t="str">
        <f>Barangays!DQ5</f>
        <v>#REF!</v>
      </c>
      <c r="F33" s="122" t="str">
        <f>Barangays!AH5</f>
        <v>#REF!</v>
      </c>
      <c r="G33" s="122" t="str">
        <f t="shared" si="2"/>
        <v>#REF!</v>
      </c>
      <c r="H33" s="122" t="str">
        <f>Barangays!EF5</f>
        <v>#REF!</v>
      </c>
      <c r="I33" s="122" t="str">
        <f>Barangays!AW5</f>
        <v>#REF!</v>
      </c>
      <c r="J33" s="122" t="str">
        <f t="shared" si="3"/>
        <v>#REF!</v>
      </c>
      <c r="K33" s="122" t="str">
        <f>Barangays!EU5</f>
        <v>#REF!</v>
      </c>
      <c r="L33" s="122" t="str">
        <f>Barangays!BL5</f>
        <v>#REF!</v>
      </c>
      <c r="M33" s="122" t="str">
        <f t="shared" si="4"/>
        <v>#REF!</v>
      </c>
      <c r="N33" s="122" t="str">
        <f>Barangays!FJ5</f>
        <v>#REF!</v>
      </c>
      <c r="O33" s="122" t="str">
        <f>Barangays!CA5</f>
        <v>#REF!</v>
      </c>
      <c r="P33" s="122" t="str">
        <f t="shared" si="5"/>
        <v>#REF!</v>
      </c>
      <c r="Q33" s="122" t="str">
        <f>Barangays!FY5</f>
        <v>#REF!</v>
      </c>
      <c r="R33" s="122" t="str">
        <f>Barangays!CP5</f>
        <v>#REF!</v>
      </c>
      <c r="S33" s="122" t="str">
        <f t="shared" si="6"/>
        <v>#REF!</v>
      </c>
      <c r="T33" s="123" t="str">
        <f t="shared" si="7"/>
        <v>#REF!</v>
      </c>
      <c r="U33" s="124" t="str">
        <f>IF(J14=0,0,T33/J14)</f>
        <v>#REF!</v>
      </c>
      <c r="V33" s="122" t="str">
        <f t="shared" si="10"/>
        <v>#REF!</v>
      </c>
      <c r="W33" s="125" t="str">
        <f>IF(AF18=0,0,V33/AF18)</f>
        <v>#REF!</v>
      </c>
      <c r="X33" s="111" t="str">
        <f>Barangays!IA5</f>
        <v>#REF!</v>
      </c>
      <c r="Y33" s="111" t="str">
        <f>Barangays!HL5</f>
        <v>#REF!</v>
      </c>
      <c r="Z33" s="112" t="str">
        <f t="shared" si="9"/>
        <v>#REF!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</row>
    <row r="34">
      <c r="A34" s="126" t="s">
        <v>60</v>
      </c>
      <c r="B34" s="127" t="str">
        <f t="shared" ref="B34:S34" si="11">SUM(B17:B21)</f>
        <v>#REF!</v>
      </c>
      <c r="C34" s="127" t="str">
        <f t="shared" si="11"/>
        <v>#REF!</v>
      </c>
      <c r="D34" s="127" t="str">
        <f t="shared" si="11"/>
        <v>#REF!</v>
      </c>
      <c r="E34" s="127" t="str">
        <f t="shared" si="11"/>
        <v>#REF!</v>
      </c>
      <c r="F34" s="127" t="str">
        <f t="shared" si="11"/>
        <v>#REF!</v>
      </c>
      <c r="G34" s="127" t="str">
        <f t="shared" si="11"/>
        <v>#REF!</v>
      </c>
      <c r="H34" s="127" t="str">
        <f t="shared" si="11"/>
        <v>#REF!</v>
      </c>
      <c r="I34" s="127" t="str">
        <f t="shared" si="11"/>
        <v>#REF!</v>
      </c>
      <c r="J34" s="127" t="str">
        <f t="shared" si="11"/>
        <v>#REF!</v>
      </c>
      <c r="K34" s="127" t="str">
        <f t="shared" si="11"/>
        <v>#REF!</v>
      </c>
      <c r="L34" s="127" t="str">
        <f t="shared" si="11"/>
        <v>#REF!</v>
      </c>
      <c r="M34" s="127" t="str">
        <f t="shared" si="11"/>
        <v>#REF!</v>
      </c>
      <c r="N34" s="127" t="str">
        <f t="shared" si="11"/>
        <v>#REF!</v>
      </c>
      <c r="O34" s="127" t="str">
        <f t="shared" si="11"/>
        <v>#REF!</v>
      </c>
      <c r="P34" s="127" t="str">
        <f t="shared" si="11"/>
        <v>#REF!</v>
      </c>
      <c r="Q34" s="127" t="str">
        <f t="shared" si="11"/>
        <v>#REF!</v>
      </c>
      <c r="R34" s="127" t="str">
        <f t="shared" si="11"/>
        <v>#REF!</v>
      </c>
      <c r="S34" s="128" t="str">
        <f t="shared" si="11"/>
        <v>#REF!</v>
      </c>
      <c r="T34" s="129"/>
      <c r="U34" s="130"/>
      <c r="V34" s="131"/>
      <c r="W34" s="132"/>
      <c r="X34" s="133"/>
      <c r="Y34" s="36"/>
      <c r="Z34" s="134"/>
      <c r="AA34" s="17"/>
      <c r="AB34" s="17"/>
      <c r="AC34" s="17"/>
      <c r="AD34" s="17"/>
      <c r="AE34" s="17"/>
      <c r="AF34" s="17"/>
      <c r="AG34" s="17"/>
      <c r="AH34" s="17"/>
      <c r="AI34" s="17"/>
      <c r="AJ34" s="17"/>
    </row>
    <row r="35">
      <c r="A35" s="135" t="s">
        <v>61</v>
      </c>
      <c r="B35" s="36"/>
      <c r="C35" s="36"/>
      <c r="D35" s="36"/>
      <c r="E35" s="36"/>
      <c r="F35" s="36"/>
      <c r="G35" s="36"/>
      <c r="H35" s="136"/>
      <c r="I35" s="137" t="s">
        <v>62</v>
      </c>
      <c r="J35" s="36"/>
      <c r="K35" s="36"/>
      <c r="L35" s="36"/>
      <c r="M35" s="36"/>
      <c r="N35" s="36"/>
      <c r="O35" s="36"/>
      <c r="P35" s="36"/>
      <c r="Q35" s="36"/>
      <c r="R35" s="36"/>
      <c r="S35" s="136"/>
      <c r="T35" s="137" t="s">
        <v>63</v>
      </c>
      <c r="U35" s="36"/>
      <c r="V35" s="36"/>
      <c r="W35" s="36"/>
      <c r="X35" s="36"/>
      <c r="Y35" s="36"/>
      <c r="Z35" s="134"/>
      <c r="AA35" s="17"/>
      <c r="AB35" s="17"/>
      <c r="AC35" s="17"/>
      <c r="AD35" s="17"/>
      <c r="AE35" s="17"/>
      <c r="AF35" s="17"/>
      <c r="AG35" s="17"/>
      <c r="AH35" s="17"/>
      <c r="AI35" s="17"/>
      <c r="AJ35" s="17"/>
    </row>
    <row r="36">
      <c r="A36" s="138" t="s">
        <v>64</v>
      </c>
      <c r="B36" s="139"/>
      <c r="C36" s="139"/>
      <c r="D36" s="139"/>
      <c r="E36" s="139"/>
      <c r="F36" s="139"/>
      <c r="G36" s="29"/>
      <c r="H36" s="140" t="str">
        <f>Barangays!GH5</f>
        <v>#REF!</v>
      </c>
      <c r="I36" s="141" t="s">
        <v>65</v>
      </c>
      <c r="J36" s="139"/>
      <c r="K36" s="139"/>
      <c r="L36" s="139"/>
      <c r="M36" s="139"/>
      <c r="N36" s="139"/>
      <c r="O36" s="139"/>
      <c r="P36" s="139"/>
      <c r="Q36" s="139"/>
      <c r="R36" s="29"/>
      <c r="S36" s="142" t="str">
        <f>Barangays!GR5</f>
        <v>#REF!</v>
      </c>
      <c r="T36" s="143" t="s">
        <v>66</v>
      </c>
      <c r="U36" s="144"/>
      <c r="V36" s="144"/>
      <c r="W36" s="144"/>
      <c r="X36" s="144"/>
      <c r="Y36" s="145"/>
      <c r="Z36" s="146" t="str">
        <f>Barangays!IB5</f>
        <v>#REF!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</row>
    <row r="37">
      <c r="A37" s="138" t="s">
        <v>67</v>
      </c>
      <c r="B37" s="139"/>
      <c r="C37" s="139"/>
      <c r="D37" s="139"/>
      <c r="E37" s="139"/>
      <c r="F37" s="139"/>
      <c r="G37" s="29"/>
      <c r="H37" s="140" t="str">
        <f>Barangays!GI5</f>
        <v>#REF!</v>
      </c>
      <c r="I37" s="147" t="s">
        <v>68</v>
      </c>
      <c r="J37" s="144"/>
      <c r="K37" s="144"/>
      <c r="L37" s="144"/>
      <c r="M37" s="144"/>
      <c r="N37" s="144"/>
      <c r="O37" s="144"/>
      <c r="P37" s="144"/>
      <c r="Q37" s="144"/>
      <c r="R37" s="145"/>
      <c r="S37" s="148" t="str">
        <f>Barangays!GS5</f>
        <v>#REF!</v>
      </c>
      <c r="T37" s="143" t="s">
        <v>69</v>
      </c>
      <c r="U37" s="144"/>
      <c r="V37" s="144"/>
      <c r="W37" s="144"/>
      <c r="X37" s="144"/>
      <c r="Y37" s="145"/>
      <c r="Z37" s="149" t="str">
        <f>Barangays!IE5</f>
        <v>#REF!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</row>
    <row r="38">
      <c r="A38" s="150" t="s">
        <v>70</v>
      </c>
      <c r="B38" s="151"/>
      <c r="C38" s="151"/>
      <c r="D38" s="151"/>
      <c r="E38" s="151"/>
      <c r="F38" s="151"/>
      <c r="G38" s="152"/>
      <c r="H38" s="153" t="str">
        <f>Barangays!GJ5</f>
        <v>#REF!</v>
      </c>
      <c r="I38" s="154" t="s">
        <v>71</v>
      </c>
      <c r="J38" s="151"/>
      <c r="K38" s="151"/>
      <c r="L38" s="151"/>
      <c r="M38" s="151"/>
      <c r="N38" s="151"/>
      <c r="O38" s="151"/>
      <c r="P38" s="151"/>
      <c r="Q38" s="151"/>
      <c r="R38" s="152"/>
      <c r="S38" s="155" t="str">
        <f>Barangays!GT5</f>
        <v>#REF!</v>
      </c>
      <c r="T38" s="143" t="s">
        <v>72</v>
      </c>
      <c r="U38" s="144"/>
      <c r="V38" s="144"/>
      <c r="W38" s="144"/>
      <c r="X38" s="144"/>
      <c r="Y38" s="145"/>
      <c r="Z38" s="149" t="str">
        <f>Barangays!IH5</f>
        <v>#REF!</v>
      </c>
      <c r="AA38" s="17"/>
      <c r="AB38" s="17"/>
      <c r="AC38" s="17"/>
      <c r="AD38" s="17"/>
      <c r="AE38" s="17"/>
      <c r="AF38" s="17"/>
      <c r="AG38" s="17"/>
      <c r="AH38" s="17"/>
      <c r="AI38" s="17"/>
      <c r="AJ38" s="17"/>
    </row>
    <row r="39">
      <c r="A39" s="156" t="s">
        <v>73</v>
      </c>
      <c r="B39" s="157"/>
      <c r="C39" s="157"/>
      <c r="D39" s="157"/>
      <c r="E39" s="157"/>
      <c r="F39" s="157"/>
      <c r="G39" s="158"/>
      <c r="H39" s="159" t="str">
        <f>Barangays!GK5</f>
        <v>#REF!</v>
      </c>
      <c r="I39" s="160" t="s">
        <v>74</v>
      </c>
      <c r="J39" s="161"/>
      <c r="K39" s="161"/>
      <c r="L39" s="161"/>
      <c r="M39" s="161"/>
      <c r="N39" s="161"/>
      <c r="O39" s="161"/>
      <c r="P39" s="161"/>
      <c r="Q39" s="161"/>
      <c r="R39" s="32"/>
      <c r="S39" s="162" t="str">
        <f>Barangays!GU5</f>
        <v>#REF!</v>
      </c>
      <c r="T39" s="143" t="s">
        <v>75</v>
      </c>
      <c r="U39" s="144"/>
      <c r="V39" s="144"/>
      <c r="W39" s="144"/>
      <c r="X39" s="144"/>
      <c r="Y39" s="145"/>
      <c r="Z39" s="149" t="str">
        <f>Barangays!IG5</f>
        <v>#REF!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</row>
    <row r="40">
      <c r="A40" s="163" t="s">
        <v>76</v>
      </c>
      <c r="B40" s="151"/>
      <c r="C40" s="151"/>
      <c r="D40" s="151"/>
      <c r="E40" s="151"/>
      <c r="F40" s="151"/>
      <c r="G40" s="152"/>
      <c r="H40" s="164" t="str">
        <f>Barangays!GL5</f>
        <v>#REF!</v>
      </c>
      <c r="I40" s="165" t="s">
        <v>77</v>
      </c>
      <c r="J40" s="151"/>
      <c r="K40" s="151"/>
      <c r="L40" s="151"/>
      <c r="M40" s="151"/>
      <c r="N40" s="151"/>
      <c r="O40" s="151"/>
      <c r="P40" s="151"/>
      <c r="Q40" s="151"/>
      <c r="R40" s="152"/>
      <c r="S40" s="166" t="str">
        <f>Barangays!GV5</f>
        <v>#REF!</v>
      </c>
      <c r="T40" s="143" t="s">
        <v>78</v>
      </c>
      <c r="U40" s="144"/>
      <c r="V40" s="144"/>
      <c r="W40" s="144"/>
      <c r="X40" s="144"/>
      <c r="Y40" s="145"/>
      <c r="Z40" s="167" t="str">
        <f>Barangays!IF5</f>
        <v>#REF!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</row>
    <row r="41">
      <c r="A41" s="168" t="s">
        <v>79</v>
      </c>
      <c r="B41" s="169"/>
      <c r="C41" s="169"/>
      <c r="D41" s="169"/>
      <c r="E41" s="169"/>
      <c r="F41" s="169"/>
      <c r="G41" s="170"/>
      <c r="H41" s="171" t="str">
        <f>Barangays!GM5</f>
        <v>#REF!</v>
      </c>
      <c r="I41" s="172"/>
      <c r="J41" s="173"/>
      <c r="K41" s="173"/>
      <c r="L41" s="173"/>
      <c r="M41" s="173"/>
      <c r="N41" s="173"/>
      <c r="O41" s="173"/>
      <c r="P41" s="173"/>
      <c r="Q41" s="173"/>
      <c r="R41" s="173"/>
      <c r="S41" s="174"/>
      <c r="T41" s="143" t="s">
        <v>80</v>
      </c>
      <c r="U41" s="144"/>
      <c r="V41" s="144"/>
      <c r="W41" s="144"/>
      <c r="X41" s="144"/>
      <c r="Y41" s="145"/>
      <c r="Z41" s="167" t="str">
        <f>Barangays!II5</f>
        <v>#REF!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</row>
    <row r="42">
      <c r="A42" s="175" t="s">
        <v>81</v>
      </c>
      <c r="B42" s="161"/>
      <c r="C42" s="161"/>
      <c r="D42" s="161"/>
      <c r="E42" s="161"/>
      <c r="F42" s="161"/>
      <c r="G42" s="32"/>
      <c r="H42" s="171" t="str">
        <f>Barangays!GN5</f>
        <v>#REF!</v>
      </c>
      <c r="I42" s="172"/>
      <c r="J42" s="173"/>
      <c r="K42" s="173"/>
      <c r="L42" s="173"/>
      <c r="M42" s="173"/>
      <c r="N42" s="173"/>
      <c r="O42" s="173"/>
      <c r="P42" s="173"/>
      <c r="Q42" s="173"/>
      <c r="R42" s="173"/>
      <c r="S42" s="174"/>
      <c r="T42" s="143" t="s">
        <v>82</v>
      </c>
      <c r="U42" s="144"/>
      <c r="V42" s="144"/>
      <c r="W42" s="144"/>
      <c r="X42" s="144"/>
      <c r="Y42" s="145"/>
      <c r="Z42" s="167" t="str">
        <f>Barangays!IC5</f>
        <v>#REF!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</row>
    <row r="43">
      <c r="A43" s="176" t="s">
        <v>83</v>
      </c>
      <c r="B43" s="177"/>
      <c r="C43" s="177"/>
      <c r="D43" s="177"/>
      <c r="E43" s="177"/>
      <c r="F43" s="177"/>
      <c r="G43" s="178"/>
      <c r="H43" s="179" t="str">
        <f>Barangays!GO5</f>
        <v>#REF!</v>
      </c>
      <c r="I43" s="172"/>
      <c r="J43" s="173"/>
      <c r="K43" s="173"/>
      <c r="L43" s="173"/>
      <c r="M43" s="173"/>
      <c r="N43" s="173"/>
      <c r="O43" s="173"/>
      <c r="P43" s="173"/>
      <c r="Q43" s="173"/>
      <c r="R43" s="173"/>
      <c r="S43" s="174"/>
      <c r="T43" s="180" t="s">
        <v>84</v>
      </c>
      <c r="U43" s="139"/>
      <c r="V43" s="139"/>
      <c r="W43" s="139"/>
      <c r="X43" s="139"/>
      <c r="Y43" s="29"/>
      <c r="Z43" s="167" t="str">
        <f>Barangays!ID5</f>
        <v>#REF!</v>
      </c>
      <c r="AA43" s="17"/>
      <c r="AB43" s="17"/>
      <c r="AC43" s="17"/>
      <c r="AD43" s="17"/>
      <c r="AE43" s="17"/>
      <c r="AF43" s="17"/>
      <c r="AG43" s="17"/>
      <c r="AH43" s="17"/>
      <c r="AI43" s="17"/>
      <c r="AJ43" s="17"/>
    </row>
    <row r="44">
      <c r="A44" s="181" t="s">
        <v>85</v>
      </c>
      <c r="B44" s="157"/>
      <c r="C44" s="157"/>
      <c r="D44" s="157"/>
      <c r="E44" s="157"/>
      <c r="F44" s="157"/>
      <c r="G44" s="158"/>
      <c r="H44" s="182" t="str">
        <f>Barangays!GP5</f>
        <v>#REF!</v>
      </c>
      <c r="I44" s="172"/>
      <c r="J44" s="173"/>
      <c r="K44" s="173"/>
      <c r="L44" s="173"/>
      <c r="M44" s="173"/>
      <c r="N44" s="173"/>
      <c r="O44" s="173"/>
      <c r="P44" s="173"/>
      <c r="Q44" s="173"/>
      <c r="R44" s="173"/>
      <c r="S44" s="174"/>
      <c r="T44" s="143" t="str">
        <f>IF(Barangays!$X$6 = "Weight + Length/Height", "", "# Children with no MUAC:")</f>
        <v>#REF!</v>
      </c>
      <c r="U44" s="144"/>
      <c r="V44" s="144"/>
      <c r="W44" s="144"/>
      <c r="X44" s="144"/>
      <c r="Y44" s="145"/>
      <c r="Z44" s="167" t="str">
        <f>IF(Barangays!$X$6 = "Weight + Length/Height", "", Barangays!IJ5)</f>
        <v>#REF!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</row>
    <row r="45">
      <c r="A45" s="183" t="s">
        <v>86</v>
      </c>
      <c r="B45" s="184"/>
      <c r="C45" s="184"/>
      <c r="D45" s="184"/>
      <c r="E45" s="184"/>
      <c r="F45" s="184"/>
      <c r="G45" s="185"/>
      <c r="H45" s="186" t="str">
        <f>Barangays!GQ5</f>
        <v>#REF!</v>
      </c>
      <c r="I45" s="187"/>
      <c r="J45" s="188"/>
      <c r="K45" s="188"/>
      <c r="L45" s="188"/>
      <c r="M45" s="188"/>
      <c r="N45" s="188"/>
      <c r="O45" s="188"/>
      <c r="P45" s="188"/>
      <c r="Q45" s="188"/>
      <c r="R45" s="47"/>
      <c r="S45" s="189"/>
      <c r="T45" s="190" t="s">
        <v>87</v>
      </c>
      <c r="U45" s="191"/>
      <c r="V45" s="191"/>
      <c r="W45" s="191"/>
      <c r="X45" s="191"/>
      <c r="Y45" s="192"/>
      <c r="Z45" s="193" t="str">
        <f>Barangays!IL5</f>
        <v>#REF!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</row>
    <row r="46" ht="12.75" customHeight="1">
      <c r="A46" s="194"/>
      <c r="B46" s="161"/>
      <c r="C46" s="161"/>
      <c r="D46" s="161"/>
      <c r="E46" s="32"/>
      <c r="F46" s="195" t="s">
        <v>88</v>
      </c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32"/>
      <c r="V46" s="196" t="s">
        <v>89</v>
      </c>
      <c r="W46" s="197"/>
      <c r="X46" s="197"/>
      <c r="Y46" s="197"/>
      <c r="Z46" s="197"/>
      <c r="AA46" s="17"/>
      <c r="AB46" s="17"/>
      <c r="AC46" s="17"/>
      <c r="AD46" s="17"/>
      <c r="AE46" s="17"/>
      <c r="AF46" s="17"/>
      <c r="AG46" s="17"/>
      <c r="AH46" s="17"/>
      <c r="AI46" s="17"/>
      <c r="AJ46" s="17"/>
    </row>
    <row r="47" ht="5.25" customHeight="1">
      <c r="A47" s="198"/>
      <c r="B47" s="198"/>
      <c r="C47" s="199"/>
      <c r="D47" s="199"/>
      <c r="E47" s="200"/>
      <c r="F47" s="200"/>
      <c r="G47" s="200"/>
      <c r="H47" s="200"/>
      <c r="I47" s="200"/>
      <c r="J47" s="200"/>
      <c r="K47" s="200"/>
      <c r="L47" s="200"/>
      <c r="M47" s="199"/>
      <c r="N47" s="199"/>
      <c r="O47" s="199"/>
      <c r="P47" s="201"/>
      <c r="Q47" s="201"/>
      <c r="R47" s="201"/>
      <c r="S47" s="202"/>
      <c r="T47" s="201"/>
      <c r="U47" s="202"/>
      <c r="V47" s="201"/>
      <c r="W47" s="203"/>
      <c r="X47" s="203"/>
      <c r="Y47" s="203"/>
      <c r="Z47" s="203"/>
      <c r="AA47" s="17"/>
      <c r="AB47" s="17"/>
      <c r="AC47" s="17"/>
      <c r="AD47" s="17"/>
      <c r="AE47" s="17"/>
      <c r="AF47" s="17"/>
      <c r="AG47" s="17"/>
      <c r="AH47" s="17"/>
      <c r="AI47" s="17"/>
      <c r="AJ47" s="17"/>
    </row>
    <row r="48" ht="6.0" customHeight="1">
      <c r="A48" s="204"/>
      <c r="B48" s="204"/>
      <c r="C48" s="205"/>
      <c r="D48" s="205"/>
      <c r="E48" s="93"/>
      <c r="F48" s="93"/>
      <c r="G48" s="93"/>
      <c r="I48" s="206"/>
      <c r="J48" s="93"/>
      <c r="K48" s="93"/>
      <c r="L48" s="93"/>
      <c r="M48" s="205"/>
      <c r="N48" s="207"/>
      <c r="O48" s="205"/>
      <c r="P48" s="208"/>
      <c r="Q48" s="208"/>
      <c r="R48" s="208"/>
      <c r="S48" s="208"/>
      <c r="T48" s="209"/>
      <c r="U48" s="210"/>
      <c r="V48" s="211"/>
      <c r="W48" s="212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</row>
    <row r="49" ht="6.0" customHeight="1">
      <c r="A49" s="101"/>
      <c r="B49" s="101"/>
      <c r="C49" s="101"/>
      <c r="D49" s="101"/>
      <c r="E49" s="101"/>
      <c r="F49" s="101"/>
      <c r="G49" s="101"/>
      <c r="H49" s="101"/>
      <c r="I49" s="102"/>
      <c r="J49" s="102"/>
      <c r="K49" s="213"/>
      <c r="L49" s="102"/>
      <c r="M49" s="102"/>
      <c r="N49" s="102"/>
      <c r="O49" s="102"/>
      <c r="P49" s="214"/>
      <c r="Q49" s="214"/>
      <c r="R49" s="214"/>
      <c r="S49" s="214"/>
      <c r="T49" s="215"/>
      <c r="U49" s="216"/>
    </row>
    <row r="50">
      <c r="A50" s="217" t="s">
        <v>90</v>
      </c>
      <c r="B50" s="218"/>
      <c r="C50" s="16"/>
      <c r="D50" s="16"/>
      <c r="E50" s="16"/>
      <c r="F50" s="16"/>
      <c r="G50" s="16"/>
      <c r="H50" s="23"/>
      <c r="I50" s="217" t="s">
        <v>91</v>
      </c>
      <c r="J50" s="219"/>
      <c r="K50" s="16"/>
      <c r="L50" s="16"/>
      <c r="M50" s="16"/>
      <c r="N50" s="16"/>
      <c r="O50" s="16"/>
      <c r="P50" s="16"/>
      <c r="Q50" s="16"/>
      <c r="R50" s="220"/>
      <c r="S50" s="217" t="s">
        <v>92</v>
      </c>
      <c r="T50" s="221"/>
      <c r="U50" s="16"/>
      <c r="V50" s="16"/>
      <c r="W50" s="16"/>
      <c r="X50" s="16"/>
      <c r="Y50" s="16"/>
      <c r="Z50" s="16"/>
      <c r="AA50" s="23"/>
    </row>
    <row r="51" ht="15.0" customHeight="1">
      <c r="A51" s="23"/>
      <c r="B51" s="222" t="s">
        <v>93</v>
      </c>
      <c r="C51" s="222"/>
      <c r="D51" s="222"/>
      <c r="E51" s="222"/>
      <c r="F51" s="222"/>
      <c r="G51" s="222"/>
      <c r="H51" s="220"/>
      <c r="I51" s="23"/>
      <c r="J51" s="223" t="s">
        <v>94</v>
      </c>
      <c r="K51" s="224"/>
      <c r="L51" s="224"/>
      <c r="M51" s="224"/>
      <c r="N51" s="224"/>
      <c r="O51" s="224"/>
      <c r="P51" s="224"/>
      <c r="Q51" s="224"/>
      <c r="R51" s="225"/>
      <c r="S51" s="23"/>
      <c r="T51" s="11" t="s">
        <v>95</v>
      </c>
    </row>
    <row r="52">
      <c r="A52" s="226"/>
      <c r="B52" s="23"/>
      <c r="C52" s="23"/>
      <c r="D52" s="23"/>
      <c r="E52" s="23"/>
      <c r="F52" s="23"/>
      <c r="G52" s="226"/>
      <c r="H52" s="23"/>
      <c r="I52" s="23"/>
      <c r="R52" s="225"/>
      <c r="S52" s="23"/>
    </row>
    <row r="53">
      <c r="A53" s="227" t="s">
        <v>96</v>
      </c>
      <c r="B53" s="228"/>
      <c r="C53" s="16"/>
      <c r="D53" s="16"/>
      <c r="E53" s="229"/>
      <c r="F53" s="230"/>
      <c r="G53" s="227"/>
      <c r="H53" s="230"/>
      <c r="I53" s="227" t="s">
        <v>96</v>
      </c>
      <c r="J53" s="231"/>
      <c r="K53" s="16"/>
      <c r="L53" s="16"/>
      <c r="M53" s="232"/>
      <c r="N53" s="232"/>
      <c r="O53" s="232"/>
      <c r="P53" s="232"/>
      <c r="Q53" s="232"/>
      <c r="R53" s="232"/>
      <c r="S53" s="227" t="s">
        <v>96</v>
      </c>
      <c r="T53" s="228"/>
      <c r="U53" s="16"/>
      <c r="V53" s="16"/>
      <c r="W53" s="232"/>
      <c r="X53" s="233"/>
      <c r="Y53" s="233"/>
      <c r="Z53" s="233"/>
      <c r="AA53" s="234"/>
    </row>
    <row r="54">
      <c r="V54" s="1"/>
      <c r="W54" s="1"/>
    </row>
    <row r="55">
      <c r="V55" s="1"/>
      <c r="W55" s="1"/>
    </row>
    <row r="56">
      <c r="V56" s="1"/>
      <c r="W56" s="1"/>
    </row>
    <row r="57">
      <c r="V57" s="1"/>
      <c r="W57" s="1"/>
    </row>
    <row r="58">
      <c r="V58" s="1"/>
      <c r="W58" s="1"/>
    </row>
    <row r="59">
      <c r="V59" s="1"/>
      <c r="W59" s="1"/>
    </row>
    <row r="60">
      <c r="V60" s="1"/>
      <c r="W60" s="1"/>
    </row>
    <row r="61">
      <c r="V61" s="1"/>
      <c r="W61" s="1"/>
    </row>
    <row r="62">
      <c r="V62" s="1"/>
      <c r="W62" s="1"/>
    </row>
    <row r="63">
      <c r="V63" s="1"/>
      <c r="W63" s="1"/>
    </row>
    <row r="64">
      <c r="V64" s="1"/>
      <c r="W64" s="1"/>
    </row>
    <row r="65">
      <c r="V65" s="1"/>
      <c r="W65" s="1"/>
    </row>
    <row r="66">
      <c r="V66" s="1"/>
      <c r="W66" s="1"/>
    </row>
    <row r="67">
      <c r="V67" s="1"/>
      <c r="W67" s="1"/>
    </row>
    <row r="68">
      <c r="V68" s="1"/>
      <c r="W68" s="1"/>
    </row>
    <row r="69">
      <c r="V69" s="1"/>
      <c r="W69" s="1"/>
    </row>
    <row r="70">
      <c r="V70" s="1"/>
      <c r="W70" s="1"/>
    </row>
    <row r="71">
      <c r="V71" s="1"/>
      <c r="W71" s="1"/>
    </row>
    <row r="72">
      <c r="V72" s="1"/>
      <c r="W72" s="1"/>
    </row>
    <row r="73">
      <c r="V73" s="1"/>
      <c r="W73" s="1"/>
    </row>
    <row r="74">
      <c r="V74" s="1"/>
      <c r="W74" s="1"/>
    </row>
    <row r="75">
      <c r="V75" s="1"/>
      <c r="W75" s="1"/>
    </row>
    <row r="76">
      <c r="V76" s="1"/>
      <c r="W76" s="1"/>
    </row>
    <row r="77">
      <c r="V77" s="1"/>
      <c r="W77" s="1"/>
    </row>
    <row r="78">
      <c r="V78" s="1"/>
      <c r="W78" s="1"/>
    </row>
    <row r="79">
      <c r="V79" s="1"/>
      <c r="W79" s="1"/>
    </row>
    <row r="80">
      <c r="V80" s="1"/>
      <c r="W80" s="1"/>
    </row>
    <row r="81">
      <c r="V81" s="1"/>
      <c r="W81" s="1"/>
    </row>
    <row r="82">
      <c r="V82" s="1"/>
      <c r="W82" s="1"/>
    </row>
    <row r="83">
      <c r="V83" s="1"/>
      <c r="W83" s="1"/>
    </row>
    <row r="84">
      <c r="V84" s="1"/>
      <c r="W84" s="1"/>
    </row>
    <row r="85">
      <c r="V85" s="1"/>
      <c r="W85" s="1"/>
    </row>
    <row r="86">
      <c r="V86" s="1"/>
      <c r="W86" s="1"/>
    </row>
    <row r="87">
      <c r="V87" s="1"/>
      <c r="W87" s="1"/>
    </row>
    <row r="88">
      <c r="V88" s="1"/>
      <c r="W88" s="1"/>
    </row>
    <row r="89">
      <c r="V89" s="1"/>
      <c r="W89" s="1"/>
    </row>
    <row r="90">
      <c r="V90" s="1"/>
      <c r="W90" s="1"/>
    </row>
    <row r="91">
      <c r="V91" s="1"/>
      <c r="W91" s="1"/>
    </row>
    <row r="92">
      <c r="V92" s="1"/>
      <c r="W92" s="1"/>
    </row>
    <row r="93">
      <c r="V93" s="1"/>
      <c r="W93" s="1"/>
    </row>
    <row r="94">
      <c r="V94" s="1"/>
      <c r="W94" s="1"/>
    </row>
    <row r="95">
      <c r="V95" s="1"/>
      <c r="W95" s="1"/>
    </row>
    <row r="96">
      <c r="V96" s="1"/>
      <c r="W96" s="1"/>
    </row>
    <row r="97">
      <c r="V97" s="1"/>
      <c r="W97" s="1"/>
    </row>
    <row r="98">
      <c r="V98" s="1"/>
      <c r="W98" s="1"/>
    </row>
    <row r="99">
      <c r="V99" s="1"/>
      <c r="W99" s="1"/>
    </row>
    <row r="100">
      <c r="V100" s="1"/>
      <c r="W100" s="1"/>
    </row>
    <row r="101">
      <c r="V101" s="1"/>
      <c r="W101" s="1"/>
    </row>
    <row r="102">
      <c r="V102" s="1"/>
      <c r="W102" s="1"/>
    </row>
    <row r="103">
      <c r="V103" s="1"/>
      <c r="W103" s="1"/>
    </row>
    <row r="104">
      <c r="V104" s="1"/>
      <c r="W104" s="1"/>
    </row>
    <row r="105">
      <c r="V105" s="1"/>
      <c r="W105" s="1"/>
    </row>
    <row r="106">
      <c r="V106" s="1"/>
      <c r="W106" s="1"/>
    </row>
    <row r="107">
      <c r="V107" s="1"/>
      <c r="W107" s="1"/>
    </row>
    <row r="108">
      <c r="V108" s="1"/>
      <c r="W108" s="1"/>
    </row>
    <row r="109">
      <c r="V109" s="1"/>
      <c r="W109" s="1"/>
    </row>
    <row r="110">
      <c r="V110" s="1"/>
      <c r="W110" s="1"/>
    </row>
    <row r="111">
      <c r="V111" s="1"/>
      <c r="W111" s="1"/>
    </row>
    <row r="112">
      <c r="V112" s="1"/>
      <c r="W112" s="1"/>
    </row>
    <row r="113">
      <c r="V113" s="1"/>
      <c r="W113" s="1"/>
    </row>
    <row r="114">
      <c r="V114" s="1"/>
      <c r="W114" s="1"/>
    </row>
    <row r="115">
      <c r="V115" s="1"/>
      <c r="W115" s="1"/>
    </row>
    <row r="116">
      <c r="V116" s="1"/>
      <c r="W116" s="1"/>
    </row>
    <row r="117">
      <c r="V117" s="1"/>
      <c r="W117" s="1"/>
    </row>
    <row r="118">
      <c r="V118" s="1"/>
      <c r="W118" s="1"/>
    </row>
    <row r="119">
      <c r="V119" s="1"/>
      <c r="W119" s="1"/>
    </row>
    <row r="120">
      <c r="V120" s="1"/>
      <c r="W120" s="1"/>
    </row>
    <row r="121">
      <c r="V121" s="1"/>
      <c r="W121" s="1"/>
    </row>
    <row r="122">
      <c r="V122" s="1"/>
      <c r="W122" s="1"/>
    </row>
    <row r="123">
      <c r="V123" s="1"/>
      <c r="W123" s="1"/>
    </row>
    <row r="124">
      <c r="V124" s="1"/>
      <c r="W124" s="1"/>
    </row>
    <row r="125">
      <c r="V125" s="1"/>
      <c r="W125" s="1"/>
    </row>
    <row r="126">
      <c r="V126" s="1"/>
      <c r="W126" s="1"/>
    </row>
    <row r="127">
      <c r="V127" s="1"/>
      <c r="W127" s="1"/>
    </row>
    <row r="128">
      <c r="V128" s="1"/>
      <c r="W128" s="1"/>
    </row>
    <row r="129">
      <c r="V129" s="1"/>
      <c r="W129" s="1"/>
    </row>
    <row r="130">
      <c r="V130" s="1"/>
      <c r="W130" s="1"/>
    </row>
    <row r="131">
      <c r="V131" s="1"/>
      <c r="W131" s="1"/>
    </row>
    <row r="132">
      <c r="V132" s="1"/>
      <c r="W132" s="1"/>
    </row>
    <row r="133">
      <c r="V133" s="1"/>
      <c r="W133" s="1"/>
    </row>
    <row r="134">
      <c r="V134" s="1"/>
      <c r="W134" s="1"/>
    </row>
    <row r="135">
      <c r="V135" s="1"/>
      <c r="W135" s="1"/>
    </row>
    <row r="136">
      <c r="V136" s="1"/>
      <c r="W136" s="1"/>
    </row>
    <row r="137">
      <c r="V137" s="1"/>
      <c r="W137" s="1"/>
    </row>
    <row r="138">
      <c r="V138" s="1"/>
      <c r="W138" s="1"/>
    </row>
    <row r="139">
      <c r="V139" s="1"/>
      <c r="W139" s="1"/>
    </row>
    <row r="140">
      <c r="V140" s="1"/>
      <c r="W140" s="1"/>
    </row>
    <row r="141">
      <c r="V141" s="1"/>
      <c r="W141" s="1"/>
    </row>
    <row r="142">
      <c r="V142" s="1"/>
      <c r="W142" s="1"/>
    </row>
    <row r="143">
      <c r="V143" s="1"/>
      <c r="W143" s="1"/>
    </row>
    <row r="144">
      <c r="V144" s="1"/>
      <c r="W144" s="1"/>
    </row>
    <row r="145">
      <c r="V145" s="1"/>
      <c r="W145" s="1"/>
    </row>
    <row r="146">
      <c r="V146" s="1"/>
      <c r="W146" s="1"/>
    </row>
    <row r="147">
      <c r="V147" s="1"/>
      <c r="W147" s="1"/>
    </row>
    <row r="148">
      <c r="V148" s="1"/>
      <c r="W148" s="1"/>
    </row>
    <row r="149">
      <c r="V149" s="1"/>
      <c r="W149" s="1"/>
    </row>
    <row r="150">
      <c r="V150" s="1"/>
      <c r="W150" s="1"/>
    </row>
    <row r="151">
      <c r="V151" s="1"/>
      <c r="W151" s="1"/>
    </row>
    <row r="152">
      <c r="V152" s="1"/>
      <c r="W152" s="1"/>
    </row>
    <row r="153">
      <c r="V153" s="1"/>
      <c r="W153" s="1"/>
    </row>
    <row r="154">
      <c r="V154" s="1"/>
      <c r="W154" s="1"/>
    </row>
    <row r="155">
      <c r="V155" s="1"/>
      <c r="W155" s="1"/>
    </row>
    <row r="156">
      <c r="V156" s="1"/>
      <c r="W156" s="1"/>
    </row>
    <row r="157">
      <c r="V157" s="1"/>
      <c r="W157" s="1"/>
    </row>
    <row r="158">
      <c r="V158" s="1"/>
      <c r="W158" s="1"/>
    </row>
    <row r="159">
      <c r="V159" s="1"/>
      <c r="W159" s="1"/>
    </row>
    <row r="160">
      <c r="V160" s="1"/>
      <c r="W160" s="1"/>
    </row>
    <row r="161">
      <c r="V161" s="1"/>
      <c r="W161" s="1"/>
    </row>
    <row r="162">
      <c r="V162" s="1"/>
      <c r="W162" s="1"/>
    </row>
    <row r="163">
      <c r="V163" s="1"/>
      <c r="W163" s="1"/>
    </row>
    <row r="164">
      <c r="V164" s="1"/>
      <c r="W164" s="1"/>
    </row>
    <row r="165">
      <c r="V165" s="1"/>
      <c r="W165" s="1"/>
    </row>
    <row r="166">
      <c r="V166" s="1"/>
      <c r="W166" s="1"/>
    </row>
    <row r="167">
      <c r="V167" s="1"/>
      <c r="W167" s="1"/>
    </row>
    <row r="168">
      <c r="V168" s="1"/>
      <c r="W168" s="1"/>
    </row>
    <row r="169">
      <c r="V169" s="1"/>
      <c r="W169" s="1"/>
    </row>
    <row r="170">
      <c r="V170" s="1"/>
      <c r="W170" s="1"/>
    </row>
    <row r="171">
      <c r="V171" s="1"/>
      <c r="W171" s="1"/>
    </row>
    <row r="172">
      <c r="V172" s="1"/>
      <c r="W172" s="1"/>
    </row>
    <row r="173">
      <c r="V173" s="1"/>
      <c r="W173" s="1"/>
    </row>
    <row r="174">
      <c r="V174" s="1"/>
      <c r="W174" s="1"/>
    </row>
    <row r="175">
      <c r="V175" s="1"/>
      <c r="W175" s="1"/>
    </row>
    <row r="176">
      <c r="V176" s="1"/>
      <c r="W176" s="1"/>
    </row>
    <row r="177">
      <c r="V177" s="1"/>
      <c r="W177" s="1"/>
    </row>
    <row r="178">
      <c r="V178" s="1"/>
      <c r="W178" s="1"/>
    </row>
    <row r="179">
      <c r="V179" s="1"/>
      <c r="W179" s="1"/>
    </row>
    <row r="180">
      <c r="V180" s="1"/>
      <c r="W180" s="1"/>
    </row>
    <row r="181">
      <c r="V181" s="1"/>
      <c r="W181" s="1"/>
    </row>
    <row r="182">
      <c r="V182" s="1"/>
      <c r="W182" s="1"/>
    </row>
    <row r="183">
      <c r="V183" s="1"/>
      <c r="W183" s="1"/>
    </row>
    <row r="184">
      <c r="V184" s="1"/>
      <c r="W184" s="1"/>
    </row>
    <row r="185">
      <c r="V185" s="1"/>
      <c r="W185" s="1"/>
    </row>
    <row r="186">
      <c r="V186" s="1"/>
      <c r="W186" s="1"/>
    </row>
    <row r="187">
      <c r="V187" s="1"/>
      <c r="W187" s="1"/>
    </row>
    <row r="188">
      <c r="V188" s="1"/>
      <c r="W188" s="1"/>
    </row>
    <row r="189">
      <c r="V189" s="1"/>
      <c r="W189" s="1"/>
    </row>
    <row r="190">
      <c r="V190" s="1"/>
      <c r="W190" s="1"/>
    </row>
    <row r="191">
      <c r="V191" s="1"/>
      <c r="W191" s="1"/>
    </row>
    <row r="192">
      <c r="V192" s="1"/>
      <c r="W192" s="1"/>
    </row>
    <row r="193">
      <c r="V193" s="1"/>
      <c r="W193" s="1"/>
    </row>
    <row r="194">
      <c r="V194" s="1"/>
      <c r="W194" s="1"/>
    </row>
    <row r="195">
      <c r="V195" s="1"/>
      <c r="W195" s="1"/>
    </row>
    <row r="196">
      <c r="V196" s="1"/>
      <c r="W196" s="1"/>
    </row>
    <row r="197">
      <c r="V197" s="1"/>
      <c r="W197" s="1"/>
    </row>
    <row r="198">
      <c r="V198" s="1"/>
      <c r="W198" s="1"/>
    </row>
    <row r="199">
      <c r="V199" s="1"/>
      <c r="W199" s="1"/>
    </row>
    <row r="200">
      <c r="V200" s="1"/>
      <c r="W200" s="1"/>
    </row>
    <row r="201">
      <c r="V201" s="1"/>
      <c r="W201" s="1"/>
    </row>
    <row r="202">
      <c r="V202" s="1"/>
      <c r="W202" s="1"/>
    </row>
    <row r="203">
      <c r="V203" s="1"/>
      <c r="W203" s="1"/>
    </row>
    <row r="204">
      <c r="V204" s="1"/>
      <c r="W204" s="1"/>
    </row>
    <row r="205">
      <c r="V205" s="1"/>
      <c r="W205" s="1"/>
    </row>
    <row r="206">
      <c r="V206" s="1"/>
      <c r="W206" s="1"/>
    </row>
    <row r="207">
      <c r="V207" s="1"/>
      <c r="W207" s="1"/>
    </row>
    <row r="208">
      <c r="V208" s="1"/>
      <c r="W208" s="1"/>
    </row>
    <row r="209">
      <c r="V209" s="1"/>
      <c r="W209" s="1"/>
    </row>
    <row r="210">
      <c r="V210" s="1"/>
      <c r="W210" s="1"/>
    </row>
    <row r="211">
      <c r="V211" s="1"/>
      <c r="W211" s="1"/>
    </row>
    <row r="212">
      <c r="V212" s="1"/>
      <c r="W212" s="1"/>
    </row>
    <row r="213">
      <c r="V213" s="1"/>
      <c r="W213" s="1"/>
    </row>
    <row r="214">
      <c r="V214" s="1"/>
      <c r="W214" s="1"/>
    </row>
    <row r="215">
      <c r="V215" s="1"/>
      <c r="W215" s="1"/>
    </row>
    <row r="216">
      <c r="V216" s="1"/>
      <c r="W216" s="1"/>
    </row>
    <row r="217">
      <c r="V217" s="1"/>
      <c r="W217" s="1"/>
    </row>
    <row r="218">
      <c r="V218" s="1"/>
      <c r="W218" s="1"/>
    </row>
    <row r="219">
      <c r="V219" s="1"/>
      <c r="W219" s="1"/>
    </row>
    <row r="220">
      <c r="V220" s="1"/>
      <c r="W220" s="1"/>
    </row>
    <row r="221">
      <c r="V221" s="1"/>
      <c r="W221" s="1"/>
    </row>
    <row r="222">
      <c r="V222" s="1"/>
      <c r="W222" s="1"/>
    </row>
    <row r="223">
      <c r="V223" s="1"/>
      <c r="W223" s="1"/>
    </row>
    <row r="224">
      <c r="V224" s="1"/>
      <c r="W224" s="1"/>
    </row>
    <row r="225">
      <c r="V225" s="1"/>
      <c r="W225" s="1"/>
    </row>
    <row r="226">
      <c r="V226" s="1"/>
      <c r="W226" s="1"/>
    </row>
    <row r="227">
      <c r="V227" s="1"/>
      <c r="W227" s="1"/>
    </row>
    <row r="228">
      <c r="V228" s="1"/>
      <c r="W228" s="1"/>
    </row>
    <row r="229">
      <c r="V229" s="1"/>
      <c r="W229" s="1"/>
    </row>
    <row r="230">
      <c r="V230" s="1"/>
      <c r="W230" s="1"/>
    </row>
    <row r="231">
      <c r="V231" s="1"/>
      <c r="W231" s="1"/>
    </row>
    <row r="232">
      <c r="V232" s="1"/>
      <c r="W232" s="1"/>
    </row>
    <row r="233">
      <c r="V233" s="1"/>
      <c r="W233" s="1"/>
    </row>
    <row r="234">
      <c r="V234" s="1"/>
      <c r="W234" s="1"/>
    </row>
    <row r="235">
      <c r="V235" s="1"/>
      <c r="W235" s="1"/>
    </row>
    <row r="236">
      <c r="V236" s="1"/>
      <c r="W236" s="1"/>
    </row>
    <row r="237">
      <c r="V237" s="1"/>
      <c r="W237" s="1"/>
    </row>
    <row r="238">
      <c r="V238" s="1"/>
      <c r="W238" s="1"/>
    </row>
    <row r="239">
      <c r="V239" s="1"/>
      <c r="W239" s="1"/>
    </row>
    <row r="240">
      <c r="V240" s="1"/>
      <c r="W240" s="1"/>
    </row>
    <row r="241">
      <c r="V241" s="1"/>
      <c r="W241" s="1"/>
    </row>
    <row r="242">
      <c r="V242" s="1"/>
      <c r="W242" s="1"/>
    </row>
    <row r="243">
      <c r="V243" s="1"/>
      <c r="W243" s="1"/>
    </row>
    <row r="244">
      <c r="V244" s="1"/>
      <c r="W244" s="1"/>
    </row>
    <row r="245">
      <c r="V245" s="1"/>
      <c r="W245" s="1"/>
    </row>
    <row r="246">
      <c r="V246" s="1"/>
      <c r="W246" s="1"/>
    </row>
    <row r="247">
      <c r="V247" s="1"/>
      <c r="W247" s="1"/>
    </row>
    <row r="248">
      <c r="V248" s="1"/>
      <c r="W248" s="1"/>
    </row>
    <row r="249">
      <c r="V249" s="1"/>
      <c r="W249" s="1"/>
    </row>
    <row r="250">
      <c r="V250" s="1"/>
      <c r="W250" s="1"/>
    </row>
    <row r="251">
      <c r="V251" s="1"/>
      <c r="W251" s="1"/>
    </row>
    <row r="252">
      <c r="V252" s="1"/>
      <c r="W252" s="1"/>
    </row>
    <row r="253">
      <c r="V253" s="1"/>
      <c r="W253" s="1"/>
    </row>
    <row r="254">
      <c r="V254" s="1"/>
      <c r="W254" s="1"/>
    </row>
    <row r="255">
      <c r="V255" s="1"/>
      <c r="W255" s="1"/>
    </row>
    <row r="256">
      <c r="V256" s="1"/>
      <c r="W256" s="1"/>
    </row>
    <row r="257">
      <c r="V257" s="1"/>
      <c r="W257" s="1"/>
    </row>
    <row r="258">
      <c r="V258" s="1"/>
      <c r="W258" s="1"/>
    </row>
    <row r="259">
      <c r="V259" s="1"/>
      <c r="W259" s="1"/>
    </row>
    <row r="260">
      <c r="V260" s="1"/>
      <c r="W260" s="1"/>
    </row>
    <row r="261">
      <c r="V261" s="1"/>
      <c r="W261" s="1"/>
    </row>
    <row r="262">
      <c r="V262" s="1"/>
      <c r="W262" s="1"/>
    </row>
    <row r="263">
      <c r="V263" s="1"/>
      <c r="W263" s="1"/>
    </row>
    <row r="264">
      <c r="V264" s="1"/>
      <c r="W264" s="1"/>
    </row>
    <row r="265">
      <c r="V265" s="1"/>
      <c r="W265" s="1"/>
    </row>
    <row r="266">
      <c r="V266" s="1"/>
      <c r="W266" s="1"/>
    </row>
    <row r="267">
      <c r="V267" s="1"/>
      <c r="W267" s="1"/>
    </row>
    <row r="268">
      <c r="V268" s="1"/>
      <c r="W268" s="1"/>
    </row>
    <row r="269">
      <c r="V269" s="1"/>
      <c r="W269" s="1"/>
    </row>
    <row r="270">
      <c r="V270" s="1"/>
      <c r="W270" s="1"/>
    </row>
    <row r="271">
      <c r="V271" s="1"/>
      <c r="W271" s="1"/>
    </row>
    <row r="272">
      <c r="V272" s="1"/>
      <c r="W272" s="1"/>
    </row>
    <row r="273">
      <c r="V273" s="1"/>
      <c r="W273" s="1"/>
    </row>
    <row r="274">
      <c r="V274" s="1"/>
      <c r="W274" s="1"/>
    </row>
    <row r="275">
      <c r="V275" s="1"/>
      <c r="W275" s="1"/>
    </row>
    <row r="276">
      <c r="V276" s="1"/>
      <c r="W276" s="1"/>
    </row>
    <row r="277">
      <c r="V277" s="1"/>
      <c r="W277" s="1"/>
    </row>
    <row r="278">
      <c r="V278" s="1"/>
      <c r="W278" s="1"/>
    </row>
    <row r="279">
      <c r="V279" s="1"/>
      <c r="W279" s="1"/>
    </row>
    <row r="280">
      <c r="V280" s="1"/>
      <c r="W280" s="1"/>
    </row>
    <row r="281">
      <c r="V281" s="1"/>
      <c r="W281" s="1"/>
    </row>
    <row r="282">
      <c r="V282" s="1"/>
      <c r="W282" s="1"/>
    </row>
    <row r="283">
      <c r="V283" s="1"/>
      <c r="W283" s="1"/>
    </row>
    <row r="284">
      <c r="V284" s="1"/>
      <c r="W284" s="1"/>
    </row>
    <row r="285">
      <c r="V285" s="1"/>
      <c r="W285" s="1"/>
    </row>
    <row r="286">
      <c r="V286" s="1"/>
      <c r="W286" s="1"/>
    </row>
    <row r="287">
      <c r="V287" s="1"/>
      <c r="W287" s="1"/>
    </row>
    <row r="288">
      <c r="V288" s="1"/>
      <c r="W288" s="1"/>
    </row>
    <row r="289">
      <c r="V289" s="1"/>
      <c r="W289" s="1"/>
    </row>
    <row r="290">
      <c r="V290" s="1"/>
      <c r="W290" s="1"/>
    </row>
    <row r="291">
      <c r="V291" s="1"/>
      <c r="W291" s="1"/>
    </row>
    <row r="292">
      <c r="V292" s="1"/>
      <c r="W292" s="1"/>
    </row>
    <row r="293">
      <c r="V293" s="1"/>
      <c r="W293" s="1"/>
    </row>
    <row r="294">
      <c r="V294" s="1"/>
      <c r="W294" s="1"/>
    </row>
    <row r="295">
      <c r="V295" s="1"/>
      <c r="W295" s="1"/>
    </row>
    <row r="296">
      <c r="V296" s="1"/>
      <c r="W296" s="1"/>
    </row>
    <row r="297">
      <c r="V297" s="1"/>
      <c r="W297" s="1"/>
    </row>
    <row r="298">
      <c r="V298" s="1"/>
      <c r="W298" s="1"/>
    </row>
    <row r="299">
      <c r="V299" s="1"/>
      <c r="W299" s="1"/>
    </row>
    <row r="300">
      <c r="V300" s="1"/>
      <c r="W300" s="1"/>
    </row>
    <row r="301">
      <c r="V301" s="1"/>
      <c r="W301" s="1"/>
    </row>
    <row r="302">
      <c r="V302" s="1"/>
      <c r="W302" s="1"/>
    </row>
    <row r="303">
      <c r="V303" s="1"/>
      <c r="W303" s="1"/>
    </row>
    <row r="304">
      <c r="V304" s="1"/>
      <c r="W304" s="1"/>
    </row>
    <row r="305">
      <c r="V305" s="1"/>
      <c r="W305" s="1"/>
    </row>
    <row r="306">
      <c r="V306" s="1"/>
      <c r="W306" s="1"/>
    </row>
    <row r="307">
      <c r="V307" s="1"/>
      <c r="W307" s="1"/>
    </row>
    <row r="308">
      <c r="V308" s="1"/>
      <c r="W308" s="1"/>
    </row>
    <row r="309">
      <c r="V309" s="1"/>
      <c r="W309" s="1"/>
    </row>
    <row r="310">
      <c r="V310" s="1"/>
      <c r="W310" s="1"/>
    </row>
    <row r="311">
      <c r="V311" s="1"/>
      <c r="W311" s="1"/>
    </row>
    <row r="312">
      <c r="V312" s="1"/>
      <c r="W312" s="1"/>
    </row>
    <row r="313">
      <c r="V313" s="1"/>
      <c r="W313" s="1"/>
    </row>
    <row r="314">
      <c r="V314" s="1"/>
      <c r="W314" s="1"/>
    </row>
    <row r="315">
      <c r="V315" s="1"/>
      <c r="W315" s="1"/>
    </row>
    <row r="316">
      <c r="V316" s="1"/>
      <c r="W316" s="1"/>
    </row>
    <row r="317">
      <c r="V317" s="1"/>
      <c r="W317" s="1"/>
    </row>
    <row r="318">
      <c r="V318" s="1"/>
      <c r="W318" s="1"/>
    </row>
    <row r="319">
      <c r="V319" s="1"/>
      <c r="W319" s="1"/>
    </row>
    <row r="320">
      <c r="V320" s="1"/>
      <c r="W320" s="1"/>
    </row>
    <row r="321">
      <c r="V321" s="1"/>
      <c r="W321" s="1"/>
    </row>
    <row r="322">
      <c r="V322" s="1"/>
      <c r="W322" s="1"/>
    </row>
    <row r="323">
      <c r="V323" s="1"/>
      <c r="W323" s="1"/>
    </row>
    <row r="324">
      <c r="V324" s="1"/>
      <c r="W324" s="1"/>
    </row>
    <row r="325">
      <c r="V325" s="1"/>
      <c r="W325" s="1"/>
    </row>
    <row r="326">
      <c r="V326" s="1"/>
      <c r="W326" s="1"/>
    </row>
    <row r="327">
      <c r="V327" s="1"/>
      <c r="W327" s="1"/>
    </row>
    <row r="328">
      <c r="V328" s="1"/>
      <c r="W328" s="1"/>
    </row>
    <row r="329">
      <c r="V329" s="1"/>
      <c r="W329" s="1"/>
    </row>
    <row r="330">
      <c r="V330" s="1"/>
      <c r="W330" s="1"/>
    </row>
    <row r="331">
      <c r="V331" s="1"/>
      <c r="W331" s="1"/>
    </row>
    <row r="332">
      <c r="V332" s="1"/>
      <c r="W332" s="1"/>
    </row>
    <row r="333">
      <c r="V333" s="1"/>
      <c r="W333" s="1"/>
    </row>
    <row r="334">
      <c r="V334" s="1"/>
      <c r="W334" s="1"/>
    </row>
    <row r="335">
      <c r="V335" s="1"/>
      <c r="W335" s="1"/>
    </row>
    <row r="336">
      <c r="V336" s="1"/>
      <c r="W336" s="1"/>
    </row>
    <row r="337">
      <c r="V337" s="1"/>
      <c r="W337" s="1"/>
    </row>
    <row r="338">
      <c r="V338" s="1"/>
      <c r="W338" s="1"/>
    </row>
    <row r="339">
      <c r="V339" s="1"/>
      <c r="W339" s="1"/>
    </row>
    <row r="340">
      <c r="V340" s="1"/>
      <c r="W340" s="1"/>
    </row>
    <row r="341">
      <c r="V341" s="1"/>
      <c r="W341" s="1"/>
    </row>
    <row r="342">
      <c r="V342" s="1"/>
      <c r="W342" s="1"/>
    </row>
    <row r="343">
      <c r="V343" s="1"/>
      <c r="W343" s="1"/>
    </row>
    <row r="344">
      <c r="V344" s="1"/>
      <c r="W344" s="1"/>
    </row>
    <row r="345">
      <c r="V345" s="1"/>
      <c r="W345" s="1"/>
    </row>
    <row r="346">
      <c r="V346" s="1"/>
      <c r="W346" s="1"/>
    </row>
    <row r="347">
      <c r="V347" s="1"/>
      <c r="W347" s="1"/>
    </row>
    <row r="348">
      <c r="V348" s="1"/>
      <c r="W348" s="1"/>
    </row>
    <row r="349">
      <c r="V349" s="1"/>
      <c r="W349" s="1"/>
    </row>
    <row r="350">
      <c r="V350" s="1"/>
      <c r="W350" s="1"/>
    </row>
    <row r="351">
      <c r="V351" s="1"/>
      <c r="W351" s="1"/>
    </row>
    <row r="352">
      <c r="V352" s="1"/>
      <c r="W352" s="1"/>
    </row>
    <row r="353">
      <c r="V353" s="1"/>
      <c r="W353" s="1"/>
    </row>
    <row r="354">
      <c r="V354" s="1"/>
      <c r="W354" s="1"/>
    </row>
    <row r="355">
      <c r="V355" s="1"/>
      <c r="W355" s="1"/>
    </row>
    <row r="356">
      <c r="V356" s="1"/>
      <c r="W356" s="1"/>
    </row>
    <row r="357">
      <c r="V357" s="1"/>
      <c r="W357" s="1"/>
    </row>
    <row r="358">
      <c r="V358" s="1"/>
      <c r="W358" s="1"/>
    </row>
    <row r="359">
      <c r="V359" s="1"/>
      <c r="W359" s="1"/>
    </row>
    <row r="360">
      <c r="V360" s="1"/>
      <c r="W360" s="1"/>
    </row>
    <row r="361">
      <c r="V361" s="1"/>
      <c r="W361" s="1"/>
    </row>
    <row r="362">
      <c r="V362" s="1"/>
      <c r="W362" s="1"/>
    </row>
    <row r="363">
      <c r="V363" s="1"/>
      <c r="W363" s="1"/>
    </row>
    <row r="364">
      <c r="V364" s="1"/>
      <c r="W364" s="1"/>
    </row>
    <row r="365">
      <c r="V365" s="1"/>
      <c r="W365" s="1"/>
    </row>
    <row r="366">
      <c r="V366" s="1"/>
      <c r="W366" s="1"/>
    </row>
    <row r="367">
      <c r="V367" s="1"/>
      <c r="W367" s="1"/>
    </row>
    <row r="368">
      <c r="V368" s="1"/>
      <c r="W368" s="1"/>
    </row>
    <row r="369">
      <c r="V369" s="1"/>
      <c r="W369" s="1"/>
    </row>
    <row r="370">
      <c r="V370" s="1"/>
      <c r="W370" s="1"/>
    </row>
    <row r="371">
      <c r="V371" s="1"/>
      <c r="W371" s="1"/>
    </row>
    <row r="372">
      <c r="V372" s="1"/>
      <c r="W372" s="1"/>
    </row>
    <row r="373">
      <c r="V373" s="1"/>
      <c r="W373" s="1"/>
    </row>
    <row r="374">
      <c r="V374" s="1"/>
      <c r="W374" s="1"/>
    </row>
    <row r="375">
      <c r="V375" s="1"/>
      <c r="W375" s="1"/>
    </row>
    <row r="376">
      <c r="V376" s="1"/>
      <c r="W376" s="1"/>
    </row>
    <row r="377">
      <c r="V377" s="1"/>
      <c r="W377" s="1"/>
    </row>
    <row r="378">
      <c r="V378" s="1"/>
      <c r="W378" s="1"/>
    </row>
    <row r="379">
      <c r="V379" s="1"/>
      <c r="W379" s="1"/>
    </row>
    <row r="380">
      <c r="V380" s="1"/>
      <c r="W380" s="1"/>
    </row>
    <row r="381">
      <c r="V381" s="1"/>
      <c r="W381" s="1"/>
    </row>
    <row r="382">
      <c r="V382" s="1"/>
      <c r="W382" s="1"/>
    </row>
    <row r="383">
      <c r="V383" s="1"/>
      <c r="W383" s="1"/>
    </row>
    <row r="384">
      <c r="V384" s="1"/>
      <c r="W384" s="1"/>
    </row>
    <row r="385">
      <c r="V385" s="1"/>
      <c r="W385" s="1"/>
    </row>
    <row r="386">
      <c r="V386" s="1"/>
      <c r="W386" s="1"/>
    </row>
    <row r="387">
      <c r="V387" s="1"/>
      <c r="W387" s="1"/>
    </row>
    <row r="388">
      <c r="V388" s="1"/>
      <c r="W388" s="1"/>
    </row>
    <row r="389">
      <c r="V389" s="1"/>
      <c r="W389" s="1"/>
    </row>
    <row r="390">
      <c r="V390" s="1"/>
      <c r="W390" s="1"/>
    </row>
    <row r="391">
      <c r="V391" s="1"/>
      <c r="W391" s="1"/>
    </row>
    <row r="392">
      <c r="V392" s="1"/>
      <c r="W392" s="1"/>
    </row>
    <row r="393">
      <c r="V393" s="1"/>
      <c r="W393" s="1"/>
    </row>
    <row r="394">
      <c r="V394" s="1"/>
      <c r="W394" s="1"/>
    </row>
    <row r="395">
      <c r="V395" s="1"/>
      <c r="W395" s="1"/>
    </row>
    <row r="396">
      <c r="V396" s="1"/>
      <c r="W396" s="1"/>
    </row>
    <row r="397">
      <c r="V397" s="1"/>
      <c r="W397" s="1"/>
    </row>
    <row r="398">
      <c r="V398" s="1"/>
      <c r="W398" s="1"/>
    </row>
    <row r="399">
      <c r="V399" s="1"/>
      <c r="W399" s="1"/>
    </row>
    <row r="400">
      <c r="V400" s="1"/>
      <c r="W400" s="1"/>
    </row>
    <row r="401">
      <c r="V401" s="1"/>
      <c r="W401" s="1"/>
    </row>
    <row r="402">
      <c r="V402" s="1"/>
      <c r="W402" s="1"/>
    </row>
    <row r="403">
      <c r="V403" s="1"/>
      <c r="W403" s="1"/>
    </row>
    <row r="404">
      <c r="V404" s="1"/>
      <c r="W404" s="1"/>
    </row>
    <row r="405">
      <c r="V405" s="1"/>
      <c r="W405" s="1"/>
    </row>
    <row r="406">
      <c r="V406" s="1"/>
      <c r="W406" s="1"/>
    </row>
    <row r="407">
      <c r="V407" s="1"/>
      <c r="W407" s="1"/>
    </row>
    <row r="408">
      <c r="V408" s="1"/>
      <c r="W408" s="1"/>
    </row>
    <row r="409">
      <c r="V409" s="1"/>
      <c r="W409" s="1"/>
    </row>
    <row r="410">
      <c r="V410" s="1"/>
      <c r="W410" s="1"/>
    </row>
    <row r="411">
      <c r="V411" s="1"/>
      <c r="W411" s="1"/>
    </row>
    <row r="412">
      <c r="V412" s="1"/>
      <c r="W412" s="1"/>
    </row>
    <row r="413">
      <c r="V413" s="1"/>
      <c r="W413" s="1"/>
    </row>
    <row r="414">
      <c r="V414" s="1"/>
      <c r="W414" s="1"/>
    </row>
    <row r="415">
      <c r="V415" s="1"/>
      <c r="W415" s="1"/>
    </row>
    <row r="416">
      <c r="V416" s="1"/>
      <c r="W416" s="1"/>
    </row>
    <row r="417">
      <c r="V417" s="1"/>
      <c r="W417" s="1"/>
    </row>
    <row r="418">
      <c r="V418" s="1"/>
      <c r="W418" s="1"/>
    </row>
    <row r="419">
      <c r="V419" s="1"/>
      <c r="W419" s="1"/>
    </row>
    <row r="420">
      <c r="V420" s="1"/>
      <c r="W420" s="1"/>
    </row>
    <row r="421">
      <c r="V421" s="1"/>
      <c r="W421" s="1"/>
    </row>
    <row r="422">
      <c r="V422" s="1"/>
      <c r="W422" s="1"/>
    </row>
    <row r="423">
      <c r="V423" s="1"/>
      <c r="W423" s="1"/>
    </row>
    <row r="424">
      <c r="V424" s="1"/>
      <c r="W424" s="1"/>
    </row>
    <row r="425">
      <c r="V425" s="1"/>
      <c r="W425" s="1"/>
    </row>
    <row r="426">
      <c r="V426" s="1"/>
      <c r="W426" s="1"/>
    </row>
    <row r="427">
      <c r="V427" s="1"/>
      <c r="W427" s="1"/>
    </row>
    <row r="428">
      <c r="V428" s="1"/>
      <c r="W428" s="1"/>
    </row>
    <row r="429">
      <c r="V429" s="1"/>
      <c r="W429" s="1"/>
    </row>
    <row r="430">
      <c r="V430" s="1"/>
      <c r="W430" s="1"/>
    </row>
    <row r="431">
      <c r="V431" s="1"/>
      <c r="W431" s="1"/>
    </row>
    <row r="432">
      <c r="V432" s="1"/>
      <c r="W432" s="1"/>
    </row>
    <row r="433">
      <c r="V433" s="1"/>
      <c r="W433" s="1"/>
    </row>
    <row r="434">
      <c r="V434" s="1"/>
      <c r="W434" s="1"/>
    </row>
    <row r="435">
      <c r="V435" s="1"/>
      <c r="W435" s="1"/>
    </row>
    <row r="436">
      <c r="V436" s="1"/>
      <c r="W436" s="1"/>
    </row>
    <row r="437">
      <c r="V437" s="1"/>
      <c r="W437" s="1"/>
    </row>
    <row r="438">
      <c r="V438" s="1"/>
      <c r="W438" s="1"/>
    </row>
    <row r="439">
      <c r="V439" s="1"/>
      <c r="W439" s="1"/>
    </row>
    <row r="440">
      <c r="V440" s="1"/>
      <c r="W440" s="1"/>
    </row>
    <row r="441">
      <c r="V441" s="1"/>
      <c r="W441" s="1"/>
    </row>
    <row r="442">
      <c r="V442" s="1"/>
      <c r="W442" s="1"/>
    </row>
    <row r="443">
      <c r="V443" s="1"/>
      <c r="W443" s="1"/>
    </row>
    <row r="444">
      <c r="V444" s="1"/>
      <c r="W444" s="1"/>
    </row>
    <row r="445">
      <c r="V445" s="1"/>
      <c r="W445" s="1"/>
    </row>
    <row r="446">
      <c r="V446" s="1"/>
      <c r="W446" s="1"/>
    </row>
    <row r="447">
      <c r="V447" s="1"/>
      <c r="W447" s="1"/>
    </row>
    <row r="448">
      <c r="V448" s="1"/>
      <c r="W448" s="1"/>
    </row>
    <row r="449">
      <c r="V449" s="1"/>
      <c r="W449" s="1"/>
    </row>
    <row r="450">
      <c r="V450" s="1"/>
      <c r="W450" s="1"/>
    </row>
    <row r="451">
      <c r="V451" s="1"/>
      <c r="W451" s="1"/>
    </row>
    <row r="452">
      <c r="V452" s="1"/>
      <c r="W452" s="1"/>
    </row>
    <row r="453">
      <c r="V453" s="1"/>
      <c r="W453" s="1"/>
    </row>
    <row r="454">
      <c r="V454" s="1"/>
      <c r="W454" s="1"/>
    </row>
    <row r="455">
      <c r="V455" s="1"/>
      <c r="W455" s="1"/>
    </row>
    <row r="456">
      <c r="V456" s="1"/>
      <c r="W456" s="1"/>
    </row>
    <row r="457">
      <c r="V457" s="1"/>
      <c r="W457" s="1"/>
    </row>
    <row r="458">
      <c r="V458" s="1"/>
      <c r="W458" s="1"/>
    </row>
    <row r="459">
      <c r="V459" s="1"/>
      <c r="W459" s="1"/>
    </row>
    <row r="460">
      <c r="V460" s="1"/>
      <c r="W460" s="1"/>
    </row>
    <row r="461">
      <c r="V461" s="1"/>
      <c r="W461" s="1"/>
    </row>
    <row r="462">
      <c r="V462" s="1"/>
      <c r="W462" s="1"/>
    </row>
    <row r="463">
      <c r="V463" s="1"/>
      <c r="W463" s="1"/>
    </row>
    <row r="464">
      <c r="V464" s="1"/>
      <c r="W464" s="1"/>
    </row>
    <row r="465">
      <c r="V465" s="1"/>
      <c r="W465" s="1"/>
    </row>
    <row r="466">
      <c r="V466" s="1"/>
      <c r="W466" s="1"/>
    </row>
    <row r="467">
      <c r="V467" s="1"/>
      <c r="W467" s="1"/>
    </row>
    <row r="468">
      <c r="V468" s="1"/>
      <c r="W468" s="1"/>
    </row>
    <row r="469">
      <c r="V469" s="1"/>
      <c r="W469" s="1"/>
    </row>
    <row r="470">
      <c r="V470" s="1"/>
      <c r="W470" s="1"/>
    </row>
    <row r="471">
      <c r="V471" s="1"/>
      <c r="W471" s="1"/>
    </row>
    <row r="472">
      <c r="V472" s="1"/>
      <c r="W472" s="1"/>
    </row>
    <row r="473">
      <c r="V473" s="1"/>
      <c r="W473" s="1"/>
    </row>
    <row r="474">
      <c r="V474" s="1"/>
      <c r="W474" s="1"/>
    </row>
    <row r="475">
      <c r="V475" s="1"/>
      <c r="W475" s="1"/>
    </row>
    <row r="476">
      <c r="V476" s="1"/>
      <c r="W476" s="1"/>
    </row>
    <row r="477">
      <c r="V477" s="1"/>
      <c r="W477" s="1"/>
    </row>
    <row r="478">
      <c r="V478" s="1"/>
      <c r="W478" s="1"/>
    </row>
    <row r="479">
      <c r="V479" s="1"/>
      <c r="W479" s="1"/>
    </row>
    <row r="480">
      <c r="V480" s="1"/>
      <c r="W480" s="1"/>
    </row>
    <row r="481">
      <c r="V481" s="1"/>
      <c r="W481" s="1"/>
    </row>
    <row r="482">
      <c r="V482" s="1"/>
      <c r="W482" s="1"/>
    </row>
    <row r="483">
      <c r="V483" s="1"/>
      <c r="W483" s="1"/>
    </row>
    <row r="484">
      <c r="V484" s="1"/>
      <c r="W484" s="1"/>
    </row>
    <row r="485">
      <c r="V485" s="1"/>
      <c r="W485" s="1"/>
    </row>
    <row r="486">
      <c r="V486" s="1"/>
      <c r="W486" s="1"/>
    </row>
    <row r="487">
      <c r="V487" s="1"/>
      <c r="W487" s="1"/>
    </row>
    <row r="488">
      <c r="V488" s="1"/>
      <c r="W488" s="1"/>
    </row>
    <row r="489">
      <c r="V489" s="1"/>
      <c r="W489" s="1"/>
    </row>
    <row r="490">
      <c r="V490" s="1"/>
      <c r="W490" s="1"/>
    </row>
    <row r="491">
      <c r="V491" s="1"/>
      <c r="W491" s="1"/>
    </row>
    <row r="492">
      <c r="V492" s="1"/>
      <c r="W492" s="1"/>
    </row>
    <row r="493">
      <c r="V493" s="1"/>
      <c r="W493" s="1"/>
    </row>
    <row r="494">
      <c r="V494" s="1"/>
      <c r="W494" s="1"/>
    </row>
    <row r="495">
      <c r="V495" s="1"/>
      <c r="W495" s="1"/>
    </row>
    <row r="496">
      <c r="V496" s="1"/>
      <c r="W496" s="1"/>
    </row>
    <row r="497">
      <c r="V497" s="1"/>
      <c r="W497" s="1"/>
    </row>
    <row r="498">
      <c r="V498" s="1"/>
      <c r="W498" s="1"/>
    </row>
    <row r="499">
      <c r="V499" s="1"/>
      <c r="W499" s="1"/>
    </row>
    <row r="500">
      <c r="V500" s="1"/>
      <c r="W500" s="1"/>
    </row>
    <row r="501">
      <c r="V501" s="1"/>
      <c r="W501" s="1"/>
    </row>
    <row r="502">
      <c r="V502" s="1"/>
      <c r="W502" s="1"/>
    </row>
    <row r="503">
      <c r="V503" s="1"/>
      <c r="W503" s="1"/>
    </row>
    <row r="504">
      <c r="V504" s="1"/>
      <c r="W504" s="1"/>
    </row>
    <row r="505">
      <c r="V505" s="1"/>
      <c r="W505" s="1"/>
    </row>
    <row r="506">
      <c r="V506" s="1"/>
      <c r="W506" s="1"/>
    </row>
    <row r="507">
      <c r="V507" s="1"/>
      <c r="W507" s="1"/>
    </row>
    <row r="508">
      <c r="V508" s="1"/>
      <c r="W508" s="1"/>
    </row>
    <row r="509">
      <c r="V509" s="1"/>
      <c r="W509" s="1"/>
    </row>
    <row r="510">
      <c r="V510" s="1"/>
      <c r="W510" s="1"/>
    </row>
    <row r="511">
      <c r="V511" s="1"/>
      <c r="W511" s="1"/>
    </row>
    <row r="512">
      <c r="V512" s="1"/>
      <c r="W512" s="1"/>
    </row>
    <row r="513">
      <c r="V513" s="1"/>
      <c r="W513" s="1"/>
    </row>
    <row r="514">
      <c r="V514" s="1"/>
      <c r="W514" s="1"/>
    </row>
    <row r="515">
      <c r="V515" s="1"/>
      <c r="W515" s="1"/>
    </row>
    <row r="516">
      <c r="V516" s="1"/>
      <c r="W516" s="1"/>
    </row>
    <row r="517">
      <c r="V517" s="1"/>
      <c r="W517" s="1"/>
    </row>
    <row r="518">
      <c r="V518" s="1"/>
      <c r="W518" s="1"/>
    </row>
    <row r="519">
      <c r="V519" s="1"/>
      <c r="W519" s="1"/>
    </row>
    <row r="520">
      <c r="V520" s="1"/>
      <c r="W520" s="1"/>
    </row>
    <row r="521">
      <c r="V521" s="1"/>
      <c r="W521" s="1"/>
    </row>
    <row r="522">
      <c r="V522" s="1"/>
      <c r="W522" s="1"/>
    </row>
    <row r="523">
      <c r="V523" s="1"/>
      <c r="W523" s="1"/>
    </row>
    <row r="524">
      <c r="V524" s="1"/>
      <c r="W524" s="1"/>
    </row>
    <row r="525">
      <c r="V525" s="1"/>
      <c r="W525" s="1"/>
    </row>
    <row r="526">
      <c r="V526" s="1"/>
      <c r="W526" s="1"/>
    </row>
    <row r="527">
      <c r="V527" s="1"/>
      <c r="W527" s="1"/>
    </row>
    <row r="528">
      <c r="V528" s="1"/>
      <c r="W528" s="1"/>
    </row>
    <row r="529">
      <c r="V529" s="1"/>
      <c r="W529" s="1"/>
    </row>
    <row r="530">
      <c r="V530" s="1"/>
      <c r="W530" s="1"/>
    </row>
    <row r="531">
      <c r="V531" s="1"/>
      <c r="W531" s="1"/>
    </row>
    <row r="532">
      <c r="V532" s="1"/>
      <c r="W532" s="1"/>
    </row>
    <row r="533">
      <c r="V533" s="1"/>
      <c r="W533" s="1"/>
    </row>
    <row r="534">
      <c r="V534" s="1"/>
      <c r="W534" s="1"/>
    </row>
    <row r="535">
      <c r="V535" s="1"/>
      <c r="W535" s="1"/>
    </row>
    <row r="536">
      <c r="V536" s="1"/>
      <c r="W536" s="1"/>
    </row>
    <row r="537">
      <c r="V537" s="1"/>
      <c r="W537" s="1"/>
    </row>
    <row r="538">
      <c r="V538" s="1"/>
      <c r="W538" s="1"/>
    </row>
    <row r="539">
      <c r="V539" s="1"/>
      <c r="W539" s="1"/>
    </row>
    <row r="540">
      <c r="V540" s="1"/>
      <c r="W540" s="1"/>
    </row>
    <row r="541">
      <c r="V541" s="1"/>
      <c r="W541" s="1"/>
    </row>
    <row r="542">
      <c r="V542" s="1"/>
      <c r="W542" s="1"/>
    </row>
    <row r="543">
      <c r="V543" s="1"/>
      <c r="W543" s="1"/>
    </row>
    <row r="544">
      <c r="V544" s="1"/>
      <c r="W544" s="1"/>
    </row>
    <row r="545">
      <c r="V545" s="1"/>
      <c r="W545" s="1"/>
    </row>
    <row r="546">
      <c r="V546" s="1"/>
      <c r="W546" s="1"/>
    </row>
    <row r="547">
      <c r="V547" s="1"/>
      <c r="W547" s="1"/>
    </row>
    <row r="548">
      <c r="V548" s="1"/>
      <c r="W548" s="1"/>
    </row>
    <row r="549">
      <c r="V549" s="1"/>
      <c r="W549" s="1"/>
    </row>
    <row r="550">
      <c r="V550" s="1"/>
      <c r="W550" s="1"/>
    </row>
    <row r="551">
      <c r="V551" s="1"/>
      <c r="W551" s="1"/>
    </row>
    <row r="552">
      <c r="V552" s="1"/>
      <c r="W552" s="1"/>
    </row>
    <row r="553">
      <c r="V553" s="1"/>
      <c r="W553" s="1"/>
    </row>
    <row r="554">
      <c r="V554" s="1"/>
      <c r="W554" s="1"/>
    </row>
    <row r="555">
      <c r="V555" s="1"/>
      <c r="W555" s="1"/>
    </row>
    <row r="556">
      <c r="V556" s="1"/>
      <c r="W556" s="1"/>
    </row>
    <row r="557">
      <c r="V557" s="1"/>
      <c r="W557" s="1"/>
    </row>
    <row r="558">
      <c r="V558" s="1"/>
      <c r="W558" s="1"/>
    </row>
    <row r="559">
      <c r="V559" s="1"/>
      <c r="W559" s="1"/>
    </row>
    <row r="560">
      <c r="V560" s="1"/>
      <c r="W560" s="1"/>
    </row>
    <row r="561">
      <c r="V561" s="1"/>
      <c r="W561" s="1"/>
    </row>
    <row r="562">
      <c r="V562" s="1"/>
      <c r="W562" s="1"/>
    </row>
    <row r="563">
      <c r="V563" s="1"/>
      <c r="W563" s="1"/>
    </row>
    <row r="564">
      <c r="V564" s="1"/>
      <c r="W564" s="1"/>
    </row>
    <row r="565">
      <c r="V565" s="1"/>
      <c r="W565" s="1"/>
    </row>
    <row r="566">
      <c r="V566" s="1"/>
      <c r="W566" s="1"/>
    </row>
    <row r="567">
      <c r="V567" s="1"/>
      <c r="W567" s="1"/>
    </row>
    <row r="568">
      <c r="V568" s="1"/>
      <c r="W568" s="1"/>
    </row>
    <row r="569">
      <c r="V569" s="1"/>
      <c r="W569" s="1"/>
    </row>
    <row r="570">
      <c r="V570" s="1"/>
      <c r="W570" s="1"/>
    </row>
    <row r="571">
      <c r="V571" s="1"/>
      <c r="W571" s="1"/>
    </row>
    <row r="572">
      <c r="V572" s="1"/>
      <c r="W572" s="1"/>
    </row>
    <row r="573">
      <c r="V573" s="1"/>
      <c r="W573" s="1"/>
    </row>
    <row r="574">
      <c r="V574" s="1"/>
      <c r="W574" s="1"/>
    </row>
    <row r="575">
      <c r="V575" s="1"/>
      <c r="W575" s="1"/>
    </row>
    <row r="576">
      <c r="V576" s="1"/>
      <c r="W576" s="1"/>
    </row>
    <row r="577">
      <c r="V577" s="1"/>
      <c r="W577" s="1"/>
    </row>
    <row r="578">
      <c r="V578" s="1"/>
      <c r="W578" s="1"/>
    </row>
    <row r="579">
      <c r="V579" s="1"/>
      <c r="W579" s="1"/>
    </row>
    <row r="580">
      <c r="V580" s="1"/>
      <c r="W580" s="1"/>
    </row>
    <row r="581">
      <c r="V581" s="1"/>
      <c r="W581" s="1"/>
    </row>
    <row r="582">
      <c r="V582" s="1"/>
      <c r="W582" s="1"/>
    </row>
    <row r="583">
      <c r="V583" s="1"/>
      <c r="W583" s="1"/>
    </row>
    <row r="584">
      <c r="V584" s="1"/>
      <c r="W584" s="1"/>
    </row>
    <row r="585">
      <c r="V585" s="1"/>
      <c r="W585" s="1"/>
    </row>
    <row r="586">
      <c r="V586" s="1"/>
      <c r="W586" s="1"/>
    </row>
    <row r="587">
      <c r="V587" s="1"/>
      <c r="W587" s="1"/>
    </row>
    <row r="588">
      <c r="V588" s="1"/>
      <c r="W588" s="1"/>
    </row>
    <row r="589">
      <c r="V589" s="1"/>
      <c r="W589" s="1"/>
    </row>
    <row r="590">
      <c r="V590" s="1"/>
      <c r="W590" s="1"/>
    </row>
    <row r="591">
      <c r="V591" s="1"/>
      <c r="W591" s="1"/>
    </row>
    <row r="592">
      <c r="V592" s="1"/>
      <c r="W592" s="1"/>
    </row>
    <row r="593">
      <c r="V593" s="1"/>
      <c r="W593" s="1"/>
    </row>
    <row r="594">
      <c r="V594" s="1"/>
      <c r="W594" s="1"/>
    </row>
    <row r="595">
      <c r="V595" s="1"/>
      <c r="W595" s="1"/>
    </row>
    <row r="596">
      <c r="V596" s="1"/>
      <c r="W596" s="1"/>
    </row>
    <row r="597">
      <c r="V597" s="1"/>
      <c r="W597" s="1"/>
    </row>
    <row r="598">
      <c r="V598" s="1"/>
      <c r="W598" s="1"/>
    </row>
    <row r="599">
      <c r="V599" s="1"/>
      <c r="W599" s="1"/>
    </row>
    <row r="600">
      <c r="V600" s="1"/>
      <c r="W600" s="1"/>
    </row>
    <row r="601">
      <c r="V601" s="1"/>
      <c r="W601" s="1"/>
    </row>
    <row r="602">
      <c r="V602" s="1"/>
      <c r="W602" s="1"/>
    </row>
    <row r="603">
      <c r="V603" s="1"/>
      <c r="W603" s="1"/>
    </row>
    <row r="604">
      <c r="V604" s="1"/>
      <c r="W604" s="1"/>
    </row>
    <row r="605">
      <c r="V605" s="1"/>
      <c r="W605" s="1"/>
    </row>
    <row r="606">
      <c r="V606" s="1"/>
      <c r="W606" s="1"/>
    </row>
    <row r="607">
      <c r="V607" s="1"/>
      <c r="W607" s="1"/>
    </row>
    <row r="608">
      <c r="V608" s="1"/>
      <c r="W608" s="1"/>
    </row>
    <row r="609">
      <c r="V609" s="1"/>
      <c r="W609" s="1"/>
    </row>
    <row r="610">
      <c r="V610" s="1"/>
      <c r="W610" s="1"/>
    </row>
    <row r="611">
      <c r="V611" s="1"/>
      <c r="W611" s="1"/>
    </row>
    <row r="612">
      <c r="V612" s="1"/>
      <c r="W612" s="1"/>
    </row>
    <row r="613">
      <c r="V613" s="1"/>
      <c r="W613" s="1"/>
    </row>
    <row r="614">
      <c r="V614" s="1"/>
      <c r="W614" s="1"/>
    </row>
    <row r="615">
      <c r="V615" s="1"/>
      <c r="W615" s="1"/>
    </row>
    <row r="616">
      <c r="V616" s="1"/>
      <c r="W616" s="1"/>
    </row>
    <row r="617">
      <c r="V617" s="1"/>
      <c r="W617" s="1"/>
    </row>
    <row r="618">
      <c r="V618" s="1"/>
      <c r="W618" s="1"/>
    </row>
    <row r="619">
      <c r="V619" s="1"/>
      <c r="W619" s="1"/>
    </row>
    <row r="620">
      <c r="V620" s="1"/>
      <c r="W620" s="1"/>
    </row>
    <row r="621">
      <c r="V621" s="1"/>
      <c r="W621" s="1"/>
    </row>
    <row r="622">
      <c r="V622" s="1"/>
      <c r="W622" s="1"/>
    </row>
    <row r="623">
      <c r="V623" s="1"/>
      <c r="W623" s="1"/>
    </row>
    <row r="624">
      <c r="V624" s="1"/>
      <c r="W624" s="1"/>
    </row>
    <row r="625">
      <c r="V625" s="1"/>
      <c r="W625" s="1"/>
    </row>
    <row r="626">
      <c r="V626" s="1"/>
      <c r="W626" s="1"/>
    </row>
    <row r="627">
      <c r="V627" s="1"/>
      <c r="W627" s="1"/>
    </row>
    <row r="628">
      <c r="V628" s="1"/>
      <c r="W628" s="1"/>
    </row>
    <row r="629">
      <c r="V629" s="1"/>
      <c r="W629" s="1"/>
    </row>
    <row r="630">
      <c r="V630" s="1"/>
      <c r="W630" s="1"/>
    </row>
    <row r="631">
      <c r="V631" s="1"/>
      <c r="W631" s="1"/>
    </row>
    <row r="632">
      <c r="V632" s="1"/>
      <c r="W632" s="1"/>
    </row>
    <row r="633">
      <c r="V633" s="1"/>
      <c r="W633" s="1"/>
    </row>
    <row r="634">
      <c r="V634" s="1"/>
      <c r="W634" s="1"/>
    </row>
    <row r="635">
      <c r="V635" s="1"/>
      <c r="W635" s="1"/>
    </row>
    <row r="636">
      <c r="V636" s="1"/>
      <c r="W636" s="1"/>
    </row>
    <row r="637">
      <c r="V637" s="1"/>
      <c r="W637" s="1"/>
    </row>
    <row r="638">
      <c r="V638" s="1"/>
      <c r="W638" s="1"/>
    </row>
    <row r="639">
      <c r="V639" s="1"/>
      <c r="W639" s="1"/>
    </row>
    <row r="640">
      <c r="V640" s="1"/>
      <c r="W640" s="1"/>
    </row>
    <row r="641">
      <c r="V641" s="1"/>
      <c r="W641" s="1"/>
    </row>
    <row r="642">
      <c r="V642" s="1"/>
      <c r="W642" s="1"/>
    </row>
    <row r="643">
      <c r="V643" s="1"/>
      <c r="W643" s="1"/>
    </row>
    <row r="644">
      <c r="V644" s="1"/>
      <c r="W644" s="1"/>
    </row>
    <row r="645">
      <c r="V645" s="1"/>
      <c r="W645" s="1"/>
    </row>
    <row r="646">
      <c r="V646" s="1"/>
      <c r="W646" s="1"/>
    </row>
    <row r="647">
      <c r="V647" s="1"/>
      <c r="W647" s="1"/>
    </row>
    <row r="648">
      <c r="V648" s="1"/>
      <c r="W648" s="1"/>
    </row>
    <row r="649">
      <c r="V649" s="1"/>
      <c r="W649" s="1"/>
    </row>
    <row r="650">
      <c r="V650" s="1"/>
      <c r="W650" s="1"/>
    </row>
    <row r="651">
      <c r="V651" s="1"/>
      <c r="W651" s="1"/>
    </row>
    <row r="652">
      <c r="V652" s="1"/>
      <c r="W652" s="1"/>
    </row>
    <row r="653">
      <c r="V653" s="1"/>
      <c r="W653" s="1"/>
    </row>
    <row r="654">
      <c r="V654" s="1"/>
      <c r="W654" s="1"/>
    </row>
    <row r="655">
      <c r="V655" s="1"/>
      <c r="W655" s="1"/>
    </row>
    <row r="656">
      <c r="V656" s="1"/>
      <c r="W656" s="1"/>
    </row>
    <row r="657">
      <c r="V657" s="1"/>
      <c r="W657" s="1"/>
    </row>
    <row r="658">
      <c r="V658" s="1"/>
      <c r="W658" s="1"/>
    </row>
    <row r="659">
      <c r="V659" s="1"/>
      <c r="W659" s="1"/>
    </row>
    <row r="660">
      <c r="V660" s="1"/>
      <c r="W660" s="1"/>
    </row>
    <row r="661">
      <c r="V661" s="1"/>
      <c r="W661" s="1"/>
    </row>
    <row r="662">
      <c r="V662" s="1"/>
      <c r="W662" s="1"/>
    </row>
    <row r="663">
      <c r="V663" s="1"/>
      <c r="W663" s="1"/>
    </row>
    <row r="664">
      <c r="V664" s="1"/>
      <c r="W664" s="1"/>
    </row>
    <row r="665">
      <c r="V665" s="1"/>
      <c r="W665" s="1"/>
    </row>
    <row r="666">
      <c r="V666" s="1"/>
      <c r="W666" s="1"/>
    </row>
    <row r="667">
      <c r="V667" s="1"/>
      <c r="W667" s="1"/>
    </row>
    <row r="668">
      <c r="V668" s="1"/>
      <c r="W668" s="1"/>
    </row>
    <row r="669">
      <c r="V669" s="1"/>
      <c r="W669" s="1"/>
    </row>
    <row r="670">
      <c r="V670" s="1"/>
      <c r="W670" s="1"/>
    </row>
    <row r="671">
      <c r="V671" s="1"/>
      <c r="W671" s="1"/>
    </row>
    <row r="672">
      <c r="V672" s="1"/>
      <c r="W672" s="1"/>
    </row>
    <row r="673">
      <c r="V673" s="1"/>
      <c r="W673" s="1"/>
    </row>
    <row r="674">
      <c r="V674" s="1"/>
      <c r="W674" s="1"/>
    </row>
    <row r="675">
      <c r="V675" s="1"/>
      <c r="W675" s="1"/>
    </row>
    <row r="676">
      <c r="V676" s="1"/>
      <c r="W676" s="1"/>
    </row>
    <row r="677">
      <c r="V677" s="1"/>
      <c r="W677" s="1"/>
    </row>
    <row r="678">
      <c r="V678" s="1"/>
      <c r="W678" s="1"/>
    </row>
    <row r="679">
      <c r="V679" s="1"/>
      <c r="W679" s="1"/>
    </row>
    <row r="680">
      <c r="V680" s="1"/>
      <c r="W680" s="1"/>
    </row>
    <row r="681">
      <c r="V681" s="1"/>
      <c r="W681" s="1"/>
    </row>
    <row r="682">
      <c r="V682" s="1"/>
      <c r="W682" s="1"/>
    </row>
    <row r="683">
      <c r="V683" s="1"/>
      <c r="W683" s="1"/>
    </row>
    <row r="684">
      <c r="V684" s="1"/>
      <c r="W684" s="1"/>
    </row>
    <row r="685">
      <c r="V685" s="1"/>
      <c r="W685" s="1"/>
    </row>
    <row r="686">
      <c r="V686" s="1"/>
      <c r="W686" s="1"/>
    </row>
    <row r="687">
      <c r="V687" s="1"/>
      <c r="W687" s="1"/>
    </row>
    <row r="688">
      <c r="V688" s="1"/>
      <c r="W688" s="1"/>
    </row>
    <row r="689">
      <c r="V689" s="1"/>
      <c r="W689" s="1"/>
    </row>
    <row r="690">
      <c r="V690" s="1"/>
      <c r="W690" s="1"/>
    </row>
    <row r="691">
      <c r="V691" s="1"/>
      <c r="W691" s="1"/>
    </row>
    <row r="692">
      <c r="V692" s="1"/>
      <c r="W692" s="1"/>
    </row>
    <row r="693">
      <c r="V693" s="1"/>
      <c r="W693" s="1"/>
    </row>
    <row r="694">
      <c r="V694" s="1"/>
      <c r="W694" s="1"/>
    </row>
    <row r="695">
      <c r="V695" s="1"/>
      <c r="W695" s="1"/>
    </row>
    <row r="696">
      <c r="V696" s="1"/>
      <c r="W696" s="1"/>
    </row>
    <row r="697">
      <c r="V697" s="1"/>
      <c r="W697" s="1"/>
    </row>
    <row r="698">
      <c r="V698" s="1"/>
      <c r="W698" s="1"/>
    </row>
    <row r="699">
      <c r="V699" s="1"/>
      <c r="W699" s="1"/>
    </row>
    <row r="700">
      <c r="V700" s="1"/>
      <c r="W700" s="1"/>
    </row>
    <row r="701">
      <c r="V701" s="1"/>
      <c r="W701" s="1"/>
    </row>
    <row r="702">
      <c r="V702" s="1"/>
      <c r="W702" s="1"/>
    </row>
    <row r="703">
      <c r="V703" s="1"/>
      <c r="W703" s="1"/>
    </row>
    <row r="704">
      <c r="V704" s="1"/>
      <c r="W704" s="1"/>
    </row>
    <row r="705">
      <c r="V705" s="1"/>
      <c r="W705" s="1"/>
    </row>
    <row r="706">
      <c r="V706" s="1"/>
      <c r="W706" s="1"/>
    </row>
    <row r="707">
      <c r="V707" s="1"/>
      <c r="W707" s="1"/>
    </row>
    <row r="708">
      <c r="V708" s="1"/>
      <c r="W708" s="1"/>
    </row>
    <row r="709">
      <c r="V709" s="1"/>
      <c r="W709" s="1"/>
    </row>
    <row r="710">
      <c r="V710" s="1"/>
      <c r="W710" s="1"/>
    </row>
    <row r="711">
      <c r="V711" s="1"/>
      <c r="W711" s="1"/>
    </row>
    <row r="712">
      <c r="V712" s="1"/>
      <c r="W712" s="1"/>
    </row>
    <row r="713">
      <c r="V713" s="1"/>
      <c r="W713" s="1"/>
    </row>
    <row r="714">
      <c r="V714" s="1"/>
      <c r="W714" s="1"/>
    </row>
    <row r="715">
      <c r="V715" s="1"/>
      <c r="W715" s="1"/>
    </row>
    <row r="716">
      <c r="V716" s="1"/>
      <c r="W716" s="1"/>
    </row>
    <row r="717">
      <c r="V717" s="1"/>
      <c r="W717" s="1"/>
    </row>
    <row r="718">
      <c r="V718" s="1"/>
      <c r="W718" s="1"/>
    </row>
    <row r="719">
      <c r="V719" s="1"/>
      <c r="W719" s="1"/>
    </row>
    <row r="720">
      <c r="V720" s="1"/>
      <c r="W720" s="1"/>
    </row>
    <row r="721">
      <c r="V721" s="1"/>
      <c r="W721" s="1"/>
    </row>
    <row r="722">
      <c r="V722" s="1"/>
      <c r="W722" s="1"/>
    </row>
    <row r="723">
      <c r="V723" s="1"/>
      <c r="W723" s="1"/>
    </row>
    <row r="724">
      <c r="V724" s="1"/>
      <c r="W724" s="1"/>
    </row>
    <row r="725">
      <c r="V725" s="1"/>
      <c r="W725" s="1"/>
    </row>
    <row r="726">
      <c r="V726" s="1"/>
      <c r="W726" s="1"/>
    </row>
    <row r="727">
      <c r="V727" s="1"/>
      <c r="W727" s="1"/>
    </row>
    <row r="728">
      <c r="V728" s="1"/>
      <c r="W728" s="1"/>
    </row>
    <row r="729">
      <c r="V729" s="1"/>
      <c r="W729" s="1"/>
    </row>
    <row r="730">
      <c r="V730" s="1"/>
      <c r="W730" s="1"/>
    </row>
    <row r="731">
      <c r="V731" s="1"/>
      <c r="W731" s="1"/>
    </row>
    <row r="732">
      <c r="V732" s="1"/>
      <c r="W732" s="1"/>
    </row>
    <row r="733">
      <c r="V733" s="1"/>
      <c r="W733" s="1"/>
    </row>
    <row r="734">
      <c r="V734" s="1"/>
      <c r="W734" s="1"/>
    </row>
    <row r="735">
      <c r="V735" s="1"/>
      <c r="W735" s="1"/>
    </row>
    <row r="736">
      <c r="V736" s="1"/>
      <c r="W736" s="1"/>
    </row>
    <row r="737">
      <c r="V737" s="1"/>
      <c r="W737" s="1"/>
    </row>
    <row r="738">
      <c r="V738" s="1"/>
      <c r="W738" s="1"/>
    </row>
    <row r="739">
      <c r="V739" s="1"/>
      <c r="W739" s="1"/>
    </row>
    <row r="740">
      <c r="V740" s="1"/>
      <c r="W740" s="1"/>
    </row>
    <row r="741">
      <c r="V741" s="1"/>
      <c r="W741" s="1"/>
    </row>
    <row r="742">
      <c r="V742" s="1"/>
      <c r="W742" s="1"/>
    </row>
    <row r="743">
      <c r="V743" s="1"/>
      <c r="W743" s="1"/>
    </row>
    <row r="744">
      <c r="V744" s="1"/>
      <c r="W744" s="1"/>
    </row>
    <row r="745">
      <c r="V745" s="1"/>
      <c r="W745" s="1"/>
    </row>
    <row r="746">
      <c r="V746" s="1"/>
      <c r="W746" s="1"/>
    </row>
    <row r="747">
      <c r="V747" s="1"/>
      <c r="W747" s="1"/>
    </row>
    <row r="748">
      <c r="V748" s="1"/>
      <c r="W748" s="1"/>
    </row>
    <row r="749">
      <c r="V749" s="1"/>
      <c r="W749" s="1"/>
    </row>
    <row r="750">
      <c r="V750" s="1"/>
      <c r="W750" s="1"/>
    </row>
    <row r="751">
      <c r="V751" s="1"/>
      <c r="W751" s="1"/>
    </row>
    <row r="752">
      <c r="V752" s="1"/>
      <c r="W752" s="1"/>
    </row>
    <row r="753">
      <c r="V753" s="1"/>
      <c r="W753" s="1"/>
    </row>
    <row r="754">
      <c r="V754" s="1"/>
      <c r="W754" s="1"/>
    </row>
    <row r="755">
      <c r="V755" s="1"/>
      <c r="W755" s="1"/>
    </row>
    <row r="756">
      <c r="V756" s="1"/>
      <c r="W756" s="1"/>
    </row>
    <row r="757">
      <c r="V757" s="1"/>
      <c r="W757" s="1"/>
    </row>
    <row r="758">
      <c r="V758" s="1"/>
      <c r="W758" s="1"/>
    </row>
    <row r="759">
      <c r="V759" s="1"/>
      <c r="W759" s="1"/>
    </row>
    <row r="760">
      <c r="V760" s="1"/>
      <c r="W760" s="1"/>
    </row>
    <row r="761">
      <c r="V761" s="1"/>
      <c r="W761" s="1"/>
    </row>
    <row r="762">
      <c r="V762" s="1"/>
      <c r="W762" s="1"/>
    </row>
    <row r="763">
      <c r="V763" s="1"/>
      <c r="W763" s="1"/>
    </row>
    <row r="764">
      <c r="V764" s="1"/>
      <c r="W764" s="1"/>
    </row>
    <row r="765">
      <c r="V765" s="1"/>
      <c r="W765" s="1"/>
    </row>
    <row r="766">
      <c r="V766" s="1"/>
      <c r="W766" s="1"/>
    </row>
    <row r="767">
      <c r="V767" s="1"/>
      <c r="W767" s="1"/>
    </row>
    <row r="768">
      <c r="V768" s="1"/>
      <c r="W768" s="1"/>
    </row>
    <row r="769">
      <c r="V769" s="1"/>
      <c r="W769" s="1"/>
    </row>
    <row r="770">
      <c r="V770" s="1"/>
      <c r="W770" s="1"/>
    </row>
    <row r="771">
      <c r="V771" s="1"/>
      <c r="W771" s="1"/>
    </row>
    <row r="772">
      <c r="V772" s="1"/>
      <c r="W772" s="1"/>
    </row>
    <row r="773">
      <c r="V773" s="1"/>
      <c r="W773" s="1"/>
    </row>
    <row r="774">
      <c r="V774" s="1"/>
      <c r="W774" s="1"/>
    </row>
    <row r="775">
      <c r="V775" s="1"/>
      <c r="W775" s="1"/>
    </row>
    <row r="776">
      <c r="V776" s="1"/>
      <c r="W776" s="1"/>
    </row>
    <row r="777">
      <c r="V777" s="1"/>
      <c r="W777" s="1"/>
    </row>
    <row r="778">
      <c r="V778" s="1"/>
      <c r="W778" s="1"/>
    </row>
    <row r="779">
      <c r="V779" s="1"/>
      <c r="W779" s="1"/>
    </row>
    <row r="780">
      <c r="V780" s="1"/>
      <c r="W780" s="1"/>
    </row>
    <row r="781">
      <c r="V781" s="1"/>
      <c r="W781" s="1"/>
    </row>
    <row r="782">
      <c r="V782" s="1"/>
      <c r="W782" s="1"/>
    </row>
    <row r="783">
      <c r="V783" s="1"/>
      <c r="W783" s="1"/>
    </row>
    <row r="784">
      <c r="V784" s="1"/>
      <c r="W784" s="1"/>
    </row>
    <row r="785">
      <c r="V785" s="1"/>
      <c r="W785" s="1"/>
    </row>
    <row r="786">
      <c r="V786" s="1"/>
      <c r="W786" s="1"/>
    </row>
    <row r="787">
      <c r="V787" s="1"/>
      <c r="W787" s="1"/>
    </row>
    <row r="788">
      <c r="V788" s="1"/>
      <c r="W788" s="1"/>
    </row>
    <row r="789">
      <c r="V789" s="1"/>
      <c r="W789" s="1"/>
    </row>
    <row r="790">
      <c r="V790" s="1"/>
      <c r="W790" s="1"/>
    </row>
    <row r="791">
      <c r="V791" s="1"/>
      <c r="W791" s="1"/>
    </row>
    <row r="792">
      <c r="V792" s="1"/>
      <c r="W792" s="1"/>
    </row>
    <row r="793">
      <c r="V793" s="1"/>
      <c r="W793" s="1"/>
    </row>
    <row r="794">
      <c r="V794" s="1"/>
      <c r="W794" s="1"/>
    </row>
    <row r="795">
      <c r="V795" s="1"/>
      <c r="W795" s="1"/>
    </row>
    <row r="796">
      <c r="V796" s="1"/>
      <c r="W796" s="1"/>
    </row>
    <row r="797">
      <c r="V797" s="1"/>
      <c r="W797" s="1"/>
    </row>
    <row r="798">
      <c r="V798" s="1"/>
      <c r="W798" s="1"/>
    </row>
    <row r="799">
      <c r="V799" s="1"/>
      <c r="W799" s="1"/>
    </row>
    <row r="800">
      <c r="V800" s="1"/>
      <c r="W800" s="1"/>
    </row>
    <row r="801">
      <c r="V801" s="1"/>
      <c r="W801" s="1"/>
    </row>
    <row r="802">
      <c r="V802" s="1"/>
      <c r="W802" s="1"/>
    </row>
    <row r="803">
      <c r="V803" s="1"/>
      <c r="W803" s="1"/>
    </row>
    <row r="804">
      <c r="V804" s="1"/>
      <c r="W804" s="1"/>
    </row>
    <row r="805">
      <c r="V805" s="1"/>
      <c r="W805" s="1"/>
    </row>
    <row r="806">
      <c r="V806" s="1"/>
      <c r="W806" s="1"/>
    </row>
    <row r="807">
      <c r="V807" s="1"/>
      <c r="W807" s="1"/>
    </row>
    <row r="808">
      <c r="V808" s="1"/>
      <c r="W808" s="1"/>
    </row>
    <row r="809">
      <c r="V809" s="1"/>
      <c r="W809" s="1"/>
    </row>
    <row r="810">
      <c r="V810" s="1"/>
      <c r="W810" s="1"/>
    </row>
    <row r="811">
      <c r="V811" s="1"/>
      <c r="W811" s="1"/>
    </row>
    <row r="812">
      <c r="V812" s="1"/>
      <c r="W812" s="1"/>
    </row>
    <row r="813">
      <c r="V813" s="1"/>
      <c r="W813" s="1"/>
    </row>
    <row r="814">
      <c r="V814" s="1"/>
      <c r="W814" s="1"/>
    </row>
    <row r="815">
      <c r="V815" s="1"/>
      <c r="W815" s="1"/>
    </row>
    <row r="816">
      <c r="V816" s="1"/>
      <c r="W816" s="1"/>
    </row>
    <row r="817">
      <c r="V817" s="1"/>
      <c r="W817" s="1"/>
    </row>
    <row r="818">
      <c r="V818" s="1"/>
      <c r="W818" s="1"/>
    </row>
    <row r="819">
      <c r="V819" s="1"/>
      <c r="W819" s="1"/>
    </row>
    <row r="820">
      <c r="V820" s="1"/>
      <c r="W820" s="1"/>
    </row>
    <row r="821">
      <c r="V821" s="1"/>
      <c r="W821" s="1"/>
    </row>
    <row r="822">
      <c r="V822" s="1"/>
      <c r="W822" s="1"/>
    </row>
    <row r="823">
      <c r="V823" s="1"/>
      <c r="W823" s="1"/>
    </row>
    <row r="824">
      <c r="V824" s="1"/>
      <c r="W824" s="1"/>
    </row>
    <row r="825">
      <c r="V825" s="1"/>
      <c r="W825" s="1"/>
    </row>
    <row r="826">
      <c r="V826" s="1"/>
      <c r="W826" s="1"/>
    </row>
    <row r="827">
      <c r="V827" s="1"/>
      <c r="W827" s="1"/>
    </row>
    <row r="828">
      <c r="V828" s="1"/>
      <c r="W828" s="1"/>
    </row>
    <row r="829">
      <c r="V829" s="1"/>
      <c r="W829" s="1"/>
    </row>
    <row r="830">
      <c r="V830" s="1"/>
      <c r="W830" s="1"/>
    </row>
    <row r="831">
      <c r="V831" s="1"/>
      <c r="W831" s="1"/>
    </row>
    <row r="832">
      <c r="V832" s="1"/>
      <c r="W832" s="1"/>
    </row>
    <row r="833">
      <c r="V833" s="1"/>
      <c r="W833" s="1"/>
    </row>
    <row r="834">
      <c r="V834" s="1"/>
      <c r="W834" s="1"/>
    </row>
    <row r="835">
      <c r="V835" s="1"/>
      <c r="W835" s="1"/>
    </row>
    <row r="836">
      <c r="V836" s="1"/>
      <c r="W836" s="1"/>
    </row>
    <row r="837">
      <c r="V837" s="1"/>
      <c r="W837" s="1"/>
    </row>
    <row r="838">
      <c r="V838" s="1"/>
      <c r="W838" s="1"/>
    </row>
    <row r="839">
      <c r="V839" s="1"/>
      <c r="W839" s="1"/>
    </row>
    <row r="840">
      <c r="V840" s="1"/>
      <c r="W840" s="1"/>
    </row>
    <row r="841">
      <c r="V841" s="1"/>
      <c r="W841" s="1"/>
    </row>
    <row r="842">
      <c r="V842" s="1"/>
      <c r="W842" s="1"/>
    </row>
    <row r="843">
      <c r="V843" s="1"/>
      <c r="W843" s="1"/>
    </row>
    <row r="844">
      <c r="V844" s="1"/>
      <c r="W844" s="1"/>
    </row>
    <row r="845">
      <c r="V845" s="1"/>
      <c r="W845" s="1"/>
    </row>
    <row r="846">
      <c r="V846" s="1"/>
      <c r="W846" s="1"/>
    </row>
    <row r="847">
      <c r="V847" s="1"/>
      <c r="W847" s="1"/>
    </row>
    <row r="848">
      <c r="V848" s="1"/>
      <c r="W848" s="1"/>
    </row>
    <row r="849">
      <c r="V849" s="1"/>
      <c r="W849" s="1"/>
    </row>
    <row r="850">
      <c r="V850" s="1"/>
      <c r="W850" s="1"/>
    </row>
    <row r="851">
      <c r="V851" s="1"/>
      <c r="W851" s="1"/>
    </row>
    <row r="852">
      <c r="V852" s="1"/>
      <c r="W852" s="1"/>
    </row>
    <row r="853">
      <c r="V853" s="1"/>
      <c r="W853" s="1"/>
    </row>
    <row r="854">
      <c r="V854" s="1"/>
      <c r="W854" s="1"/>
    </row>
    <row r="855">
      <c r="V855" s="1"/>
      <c r="W855" s="1"/>
    </row>
    <row r="856">
      <c r="V856" s="1"/>
      <c r="W856" s="1"/>
    </row>
    <row r="857">
      <c r="V857" s="1"/>
      <c r="W857" s="1"/>
    </row>
    <row r="858">
      <c r="V858" s="1"/>
      <c r="W858" s="1"/>
    </row>
    <row r="859">
      <c r="V859" s="1"/>
      <c r="W859" s="1"/>
    </row>
    <row r="860">
      <c r="V860" s="1"/>
      <c r="W860" s="1"/>
    </row>
    <row r="861">
      <c r="V861" s="1"/>
      <c r="W861" s="1"/>
    </row>
    <row r="862">
      <c r="V862" s="1"/>
      <c r="W862" s="1"/>
    </row>
    <row r="863">
      <c r="V863" s="1"/>
      <c r="W863" s="1"/>
    </row>
    <row r="864">
      <c r="V864" s="1"/>
      <c r="W864" s="1"/>
    </row>
    <row r="865">
      <c r="V865" s="1"/>
      <c r="W865" s="1"/>
    </row>
    <row r="866">
      <c r="V866" s="1"/>
      <c r="W866" s="1"/>
    </row>
    <row r="867">
      <c r="V867" s="1"/>
      <c r="W867" s="1"/>
    </row>
    <row r="868">
      <c r="V868" s="1"/>
      <c r="W868" s="1"/>
    </row>
    <row r="869">
      <c r="V869" s="1"/>
      <c r="W869" s="1"/>
    </row>
    <row r="870">
      <c r="V870" s="1"/>
      <c r="W870" s="1"/>
    </row>
    <row r="871">
      <c r="V871" s="1"/>
      <c r="W871" s="1"/>
    </row>
    <row r="872">
      <c r="V872" s="1"/>
      <c r="W872" s="1"/>
    </row>
    <row r="873">
      <c r="V873" s="1"/>
      <c r="W873" s="1"/>
    </row>
    <row r="874">
      <c r="V874" s="1"/>
      <c r="W874" s="1"/>
    </row>
    <row r="875">
      <c r="V875" s="1"/>
      <c r="W875" s="1"/>
    </row>
    <row r="876">
      <c r="V876" s="1"/>
      <c r="W876" s="1"/>
    </row>
    <row r="877">
      <c r="V877" s="1"/>
      <c r="W877" s="1"/>
    </row>
    <row r="878">
      <c r="V878" s="1"/>
      <c r="W878" s="1"/>
    </row>
    <row r="879">
      <c r="V879" s="1"/>
      <c r="W879" s="1"/>
    </row>
    <row r="880">
      <c r="V880" s="1"/>
      <c r="W880" s="1"/>
    </row>
    <row r="881">
      <c r="V881" s="1"/>
      <c r="W881" s="1"/>
    </row>
    <row r="882">
      <c r="V882" s="1"/>
      <c r="W882" s="1"/>
    </row>
    <row r="883">
      <c r="V883" s="1"/>
      <c r="W883" s="1"/>
    </row>
    <row r="884">
      <c r="V884" s="1"/>
      <c r="W884" s="1"/>
    </row>
    <row r="885">
      <c r="V885" s="1"/>
      <c r="W885" s="1"/>
    </row>
    <row r="886">
      <c r="V886" s="1"/>
      <c r="W886" s="1"/>
    </row>
    <row r="887">
      <c r="V887" s="1"/>
      <c r="W887" s="1"/>
    </row>
    <row r="888">
      <c r="V888" s="1"/>
      <c r="W888" s="1"/>
    </row>
    <row r="889">
      <c r="V889" s="1"/>
      <c r="W889" s="1"/>
    </row>
    <row r="890">
      <c r="V890" s="1"/>
      <c r="W890" s="1"/>
    </row>
    <row r="891">
      <c r="V891" s="1"/>
      <c r="W891" s="1"/>
    </row>
    <row r="892">
      <c r="V892" s="1"/>
      <c r="W892" s="1"/>
    </row>
    <row r="893">
      <c r="V893" s="1"/>
      <c r="W893" s="1"/>
    </row>
    <row r="894">
      <c r="V894" s="1"/>
      <c r="W894" s="1"/>
    </row>
    <row r="895">
      <c r="V895" s="1"/>
      <c r="W895" s="1"/>
    </row>
    <row r="896">
      <c r="V896" s="1"/>
      <c r="W896" s="1"/>
    </row>
    <row r="897">
      <c r="V897" s="1"/>
      <c r="W897" s="1"/>
    </row>
    <row r="898">
      <c r="V898" s="1"/>
      <c r="W898" s="1"/>
    </row>
    <row r="899">
      <c r="V899" s="1"/>
      <c r="W899" s="1"/>
    </row>
    <row r="900">
      <c r="V900" s="1"/>
      <c r="W900" s="1"/>
    </row>
    <row r="901">
      <c r="V901" s="1"/>
      <c r="W901" s="1"/>
    </row>
    <row r="902">
      <c r="V902" s="1"/>
      <c r="W902" s="1"/>
    </row>
    <row r="903">
      <c r="V903" s="1"/>
      <c r="W903" s="1"/>
    </row>
    <row r="904">
      <c r="V904" s="1"/>
      <c r="W904" s="1"/>
    </row>
    <row r="905">
      <c r="V905" s="1"/>
      <c r="W905" s="1"/>
    </row>
    <row r="906">
      <c r="V906" s="1"/>
      <c r="W906" s="1"/>
    </row>
    <row r="907">
      <c r="V907" s="1"/>
      <c r="W907" s="1"/>
    </row>
    <row r="908">
      <c r="V908" s="1"/>
      <c r="W908" s="1"/>
    </row>
    <row r="909">
      <c r="V909" s="1"/>
      <c r="W909" s="1"/>
    </row>
    <row r="910">
      <c r="V910" s="1"/>
      <c r="W910" s="1"/>
    </row>
    <row r="911">
      <c r="V911" s="1"/>
      <c r="W911" s="1"/>
    </row>
    <row r="912">
      <c r="V912" s="1"/>
      <c r="W912" s="1"/>
    </row>
    <row r="913">
      <c r="V913" s="1"/>
      <c r="W913" s="1"/>
    </row>
    <row r="914">
      <c r="V914" s="1"/>
      <c r="W914" s="1"/>
    </row>
    <row r="915">
      <c r="V915" s="1"/>
      <c r="W915" s="1"/>
    </row>
    <row r="916">
      <c r="V916" s="1"/>
      <c r="W916" s="1"/>
    </row>
    <row r="917">
      <c r="V917" s="1"/>
      <c r="W917" s="1"/>
    </row>
    <row r="918">
      <c r="V918" s="1"/>
      <c r="W918" s="1"/>
    </row>
    <row r="919">
      <c r="V919" s="1"/>
      <c r="W919" s="1"/>
    </row>
    <row r="920">
      <c r="V920" s="1"/>
      <c r="W920" s="1"/>
    </row>
    <row r="921">
      <c r="V921" s="1"/>
      <c r="W921" s="1"/>
    </row>
    <row r="922">
      <c r="V922" s="1"/>
      <c r="W922" s="1"/>
    </row>
    <row r="923">
      <c r="V923" s="1"/>
      <c r="W923" s="1"/>
    </row>
    <row r="924">
      <c r="V924" s="1"/>
      <c r="W924" s="1"/>
    </row>
    <row r="925">
      <c r="V925" s="1"/>
      <c r="W925" s="1"/>
    </row>
    <row r="926">
      <c r="V926" s="1"/>
      <c r="W926" s="1"/>
    </row>
    <row r="927">
      <c r="V927" s="1"/>
      <c r="W927" s="1"/>
    </row>
    <row r="928">
      <c r="V928" s="1"/>
      <c r="W928" s="1"/>
    </row>
    <row r="929">
      <c r="V929" s="1"/>
      <c r="W929" s="1"/>
    </row>
    <row r="930">
      <c r="V930" s="1"/>
      <c r="W930" s="1"/>
    </row>
    <row r="931">
      <c r="V931" s="1"/>
      <c r="W931" s="1"/>
    </row>
    <row r="932">
      <c r="V932" s="1"/>
      <c r="W932" s="1"/>
    </row>
    <row r="933">
      <c r="V933" s="1"/>
      <c r="W933" s="1"/>
    </row>
    <row r="934">
      <c r="V934" s="1"/>
      <c r="W934" s="1"/>
    </row>
    <row r="935">
      <c r="V935" s="1"/>
      <c r="W935" s="1"/>
    </row>
    <row r="936">
      <c r="V936" s="1"/>
      <c r="W936" s="1"/>
    </row>
    <row r="937">
      <c r="V937" s="1"/>
      <c r="W937" s="1"/>
    </row>
    <row r="938">
      <c r="V938" s="1"/>
      <c r="W938" s="1"/>
    </row>
    <row r="939">
      <c r="V939" s="1"/>
      <c r="W939" s="1"/>
    </row>
    <row r="940">
      <c r="V940" s="1"/>
      <c r="W940" s="1"/>
    </row>
    <row r="941">
      <c r="V941" s="1"/>
      <c r="W941" s="1"/>
    </row>
    <row r="942">
      <c r="V942" s="1"/>
      <c r="W942" s="1"/>
    </row>
    <row r="943">
      <c r="V943" s="1"/>
      <c r="W943" s="1"/>
    </row>
    <row r="944">
      <c r="V944" s="1"/>
      <c r="W944" s="1"/>
    </row>
    <row r="945">
      <c r="V945" s="1"/>
      <c r="W945" s="1"/>
    </row>
    <row r="946">
      <c r="V946" s="1"/>
      <c r="W946" s="1"/>
    </row>
    <row r="947">
      <c r="V947" s="1"/>
      <c r="W947" s="1"/>
    </row>
    <row r="948">
      <c r="V948" s="1"/>
      <c r="W948" s="1"/>
    </row>
    <row r="949">
      <c r="V949" s="1"/>
      <c r="W949" s="1"/>
    </row>
    <row r="950">
      <c r="V950" s="1"/>
      <c r="W950" s="1"/>
    </row>
    <row r="951">
      <c r="V951" s="1"/>
      <c r="W951" s="1"/>
    </row>
    <row r="952">
      <c r="V952" s="1"/>
      <c r="W952" s="1"/>
    </row>
    <row r="953">
      <c r="V953" s="1"/>
      <c r="W953" s="1"/>
    </row>
    <row r="954">
      <c r="V954" s="1"/>
      <c r="W954" s="1"/>
    </row>
    <row r="955">
      <c r="V955" s="1"/>
      <c r="W955" s="1"/>
    </row>
    <row r="956">
      <c r="V956" s="1"/>
      <c r="W956" s="1"/>
    </row>
    <row r="957">
      <c r="V957" s="1"/>
      <c r="W957" s="1"/>
    </row>
    <row r="958">
      <c r="V958" s="1"/>
      <c r="W958" s="1"/>
    </row>
    <row r="959">
      <c r="V959" s="1"/>
      <c r="W959" s="1"/>
    </row>
    <row r="960">
      <c r="V960" s="1"/>
      <c r="W960" s="1"/>
    </row>
    <row r="961">
      <c r="V961" s="1"/>
      <c r="W961" s="1"/>
    </row>
    <row r="962">
      <c r="V962" s="1"/>
      <c r="W962" s="1"/>
    </row>
    <row r="963">
      <c r="V963" s="1"/>
      <c r="W963" s="1"/>
    </row>
    <row r="964">
      <c r="V964" s="1"/>
      <c r="W964" s="1"/>
    </row>
    <row r="965">
      <c r="V965" s="1"/>
      <c r="W965" s="1"/>
    </row>
    <row r="966">
      <c r="V966" s="1"/>
      <c r="W966" s="1"/>
    </row>
    <row r="967">
      <c r="V967" s="1"/>
      <c r="W967" s="1"/>
    </row>
    <row r="968">
      <c r="V968" s="1"/>
      <c r="W968" s="1"/>
    </row>
    <row r="969">
      <c r="V969" s="1"/>
      <c r="W969" s="1"/>
    </row>
    <row r="970">
      <c r="V970" s="1"/>
      <c r="W970" s="1"/>
    </row>
    <row r="971">
      <c r="V971" s="1"/>
      <c r="W971" s="1"/>
    </row>
    <row r="972">
      <c r="V972" s="1"/>
      <c r="W972" s="1"/>
    </row>
    <row r="973">
      <c r="V973" s="1"/>
      <c r="W973" s="1"/>
    </row>
    <row r="974">
      <c r="V974" s="1"/>
      <c r="W974" s="1"/>
    </row>
    <row r="975">
      <c r="V975" s="1"/>
      <c r="W975" s="1"/>
    </row>
    <row r="976">
      <c r="V976" s="1"/>
      <c r="W976" s="1"/>
    </row>
    <row r="977">
      <c r="V977" s="1"/>
      <c r="W977" s="1"/>
    </row>
    <row r="978">
      <c r="V978" s="1"/>
      <c r="W978" s="1"/>
    </row>
    <row r="979">
      <c r="V979" s="1"/>
      <c r="W979" s="1"/>
    </row>
    <row r="980">
      <c r="V980" s="1"/>
      <c r="W980" s="1"/>
    </row>
    <row r="981">
      <c r="V981" s="1"/>
      <c r="W981" s="1"/>
    </row>
    <row r="982">
      <c r="V982" s="1"/>
      <c r="W982" s="1"/>
    </row>
    <row r="983">
      <c r="V983" s="1"/>
      <c r="W983" s="1"/>
    </row>
    <row r="984">
      <c r="V984" s="1"/>
      <c r="W984" s="1"/>
    </row>
    <row r="985">
      <c r="V985" s="1"/>
      <c r="W985" s="1"/>
    </row>
    <row r="986">
      <c r="V986" s="1"/>
      <c r="W986" s="1"/>
    </row>
    <row r="987">
      <c r="V987" s="1"/>
      <c r="W987" s="1"/>
    </row>
    <row r="988">
      <c r="V988" s="1"/>
      <c r="W988" s="1"/>
    </row>
    <row r="989">
      <c r="V989" s="1"/>
      <c r="W989" s="1"/>
    </row>
    <row r="990">
      <c r="V990" s="1"/>
      <c r="W990" s="1"/>
    </row>
    <row r="991">
      <c r="V991" s="1"/>
      <c r="W991" s="1"/>
    </row>
    <row r="992">
      <c r="V992" s="1"/>
      <c r="W992" s="1"/>
    </row>
    <row r="993">
      <c r="V993" s="1"/>
      <c r="W993" s="1"/>
    </row>
    <row r="994">
      <c r="V994" s="1"/>
      <c r="W994" s="1"/>
    </row>
    <row r="995">
      <c r="V995" s="1"/>
      <c r="W995" s="1"/>
    </row>
    <row r="996">
      <c r="V996" s="1"/>
      <c r="W996" s="1"/>
    </row>
    <row r="997">
      <c r="V997" s="1"/>
      <c r="W997" s="1"/>
    </row>
    <row r="998">
      <c r="V998" s="1"/>
      <c r="W998" s="1"/>
    </row>
    <row r="999">
      <c r="V999" s="1"/>
      <c r="W999" s="1"/>
    </row>
    <row r="1000">
      <c r="V1000" s="1"/>
      <c r="W1000" s="1"/>
    </row>
  </sheetData>
  <mergeCells count="98">
    <mergeCell ref="K15:M15"/>
    <mergeCell ref="N15:P15"/>
    <mergeCell ref="B12:E12"/>
    <mergeCell ref="E14:F14"/>
    <mergeCell ref="H14:I14"/>
    <mergeCell ref="K14:L14"/>
    <mergeCell ref="N14:O14"/>
    <mergeCell ref="Q14:R14"/>
    <mergeCell ref="A15:A16"/>
    <mergeCell ref="I38:R38"/>
    <mergeCell ref="I39:R39"/>
    <mergeCell ref="I40:R40"/>
    <mergeCell ref="E15:G15"/>
    <mergeCell ref="H15:J15"/>
    <mergeCell ref="A35:H35"/>
    <mergeCell ref="I35:S35"/>
    <mergeCell ref="A36:G36"/>
    <mergeCell ref="I36:R36"/>
    <mergeCell ref="I37:R37"/>
    <mergeCell ref="A37:G37"/>
    <mergeCell ref="A38:G38"/>
    <mergeCell ref="A39:G39"/>
    <mergeCell ref="A40:G40"/>
    <mergeCell ref="A41:G41"/>
    <mergeCell ref="A42:G42"/>
    <mergeCell ref="A43:G43"/>
    <mergeCell ref="J50:Q50"/>
    <mergeCell ref="J51:Q52"/>
    <mergeCell ref="B53:D53"/>
    <mergeCell ref="J53:L53"/>
    <mergeCell ref="A44:G44"/>
    <mergeCell ref="A45:G45"/>
    <mergeCell ref="I45:R45"/>
    <mergeCell ref="A46:E46"/>
    <mergeCell ref="F46:U46"/>
    <mergeCell ref="G48:H48"/>
    <mergeCell ref="B50:G50"/>
    <mergeCell ref="T14:U14"/>
    <mergeCell ref="V14:W14"/>
    <mergeCell ref="X14:Z14"/>
    <mergeCell ref="Q15:S15"/>
    <mergeCell ref="T15:U15"/>
    <mergeCell ref="V15:W15"/>
    <mergeCell ref="X15:X16"/>
    <mergeCell ref="Y15:Y16"/>
    <mergeCell ref="Z15:Z16"/>
    <mergeCell ref="X34:Z34"/>
    <mergeCell ref="T35:Z35"/>
    <mergeCell ref="T36:Y36"/>
    <mergeCell ref="T37:Y37"/>
    <mergeCell ref="T38:Y38"/>
    <mergeCell ref="V46:Z46"/>
    <mergeCell ref="T50:Z50"/>
    <mergeCell ref="T51:AA52"/>
    <mergeCell ref="T53:V53"/>
    <mergeCell ref="T39:Y39"/>
    <mergeCell ref="T40:Y40"/>
    <mergeCell ref="T41:Y41"/>
    <mergeCell ref="T42:Y42"/>
    <mergeCell ref="T43:Y43"/>
    <mergeCell ref="T44:Y44"/>
    <mergeCell ref="T45:Y45"/>
    <mergeCell ref="I2:R2"/>
    <mergeCell ref="E3:U3"/>
    <mergeCell ref="E4:U4"/>
    <mergeCell ref="E5:U5"/>
    <mergeCell ref="E9:G9"/>
    <mergeCell ref="H9:L9"/>
    <mergeCell ref="O9:P9"/>
    <mergeCell ref="T9:V9"/>
    <mergeCell ref="T10:U10"/>
    <mergeCell ref="W10:X10"/>
    <mergeCell ref="Y10:Z10"/>
    <mergeCell ref="Q9:R9"/>
    <mergeCell ref="B10:E10"/>
    <mergeCell ref="F10:G10"/>
    <mergeCell ref="H10:I10"/>
    <mergeCell ref="J10:L10"/>
    <mergeCell ref="N10:O10"/>
    <mergeCell ref="P10:Q10"/>
    <mergeCell ref="F11:G11"/>
    <mergeCell ref="H11:I11"/>
    <mergeCell ref="J11:L11"/>
    <mergeCell ref="N11:O11"/>
    <mergeCell ref="Q11:S11"/>
    <mergeCell ref="T11:U11"/>
    <mergeCell ref="X11:Z11"/>
    <mergeCell ref="B11:E11"/>
    <mergeCell ref="G12:J12"/>
    <mergeCell ref="K12:L12"/>
    <mergeCell ref="N12:Q12"/>
    <mergeCell ref="R12:S12"/>
    <mergeCell ref="U12:X12"/>
    <mergeCell ref="Y12:Z12"/>
    <mergeCell ref="B14:C14"/>
    <mergeCell ref="B15:D15"/>
    <mergeCell ref="B18:Z19"/>
    <mergeCell ref="AB19:AC19"/>
  </mergeCells>
  <conditionalFormatting sqref="B12">
    <cfRule type="cellIs" dxfId="0" priority="1" operator="equal">
      <formula>0</formula>
    </cfRule>
  </conditionalFormatting>
  <conditionalFormatting sqref="B12">
    <cfRule type="containsBlanks" dxfId="0" priority="2">
      <formula>LEN(TRIM(B12))=0</formula>
    </cfRule>
  </conditionalFormatting>
  <conditionalFormatting sqref="B50 B53 J50 J53 T50 T53">
    <cfRule type="containsBlanks" dxfId="1" priority="3">
      <formula>LEN(TRIM(B50))=0</formula>
    </cfRule>
  </conditionalFormatting>
  <conditionalFormatting sqref="B11:E11">
    <cfRule type="expression" dxfId="2" priority="4">
      <formula>$A$11=""</formula>
    </cfRule>
  </conditionalFormatting>
  <conditionalFormatting sqref="B11:E11">
    <cfRule type="expression" dxfId="0" priority="5">
      <formula>AND($A$11&lt;&gt;"",$B$11=0)</formula>
    </cfRule>
  </conditionalFormatting>
  <conditionalFormatting sqref="D14 G14 J14 M14 P14 S14">
    <cfRule type="cellIs" dxfId="3" priority="6" operator="equal">
      <formula>0</formula>
    </cfRule>
  </conditionalFormatting>
  <conditionalFormatting sqref="E9:H9">
    <cfRule type="containsBlanks" dxfId="2" priority="7">
      <formula>LEN(TRIM(E9))=0</formula>
    </cfRule>
  </conditionalFormatting>
  <conditionalFormatting sqref="E5:U5">
    <cfRule type="cellIs" dxfId="2" priority="8" operator="equal">
      <formula>0</formula>
    </cfRule>
  </conditionalFormatting>
  <conditionalFormatting sqref="H9:K9">
    <cfRule type="expression" dxfId="4" priority="9">
      <formula>$H$9&lt;&gt;""</formula>
    </cfRule>
  </conditionalFormatting>
  <conditionalFormatting sqref="H9:L9">
    <cfRule type="expression" dxfId="5" priority="10">
      <formula>AND($E$9&lt;&gt;"",$H$9=0)</formula>
    </cfRule>
  </conditionalFormatting>
  <conditionalFormatting sqref="J10:J11">
    <cfRule type="containsBlanks" dxfId="6" priority="11">
      <formula>LEN(TRIM(J10))=0</formula>
    </cfRule>
  </conditionalFormatting>
  <conditionalFormatting sqref="K12:L12">
    <cfRule type="expression" dxfId="7" priority="12">
      <formula>AND($G$12&lt;&gt;"",$K$12="")</formula>
    </cfRule>
  </conditionalFormatting>
  <conditionalFormatting sqref="K12:L12">
    <cfRule type="notContainsBlanks" dxfId="8" priority="13">
      <formula>LEN(TRIM(K12))&gt;0</formula>
    </cfRule>
  </conditionalFormatting>
  <conditionalFormatting sqref="L9">
    <cfRule type="expression" dxfId="8" priority="14">
      <formula>$H$9&lt;&gt;""</formula>
    </cfRule>
  </conditionalFormatting>
  <conditionalFormatting sqref="Q11">
    <cfRule type="containsBlanks" dxfId="6" priority="15">
      <formula>LEN(TRIM(Q11))=0</formula>
    </cfRule>
  </conditionalFormatting>
  <conditionalFormatting sqref="J10:L11 Q9:R9">
    <cfRule type="cellIs" dxfId="0" priority="16" operator="equal">
      <formula>0</formula>
    </cfRule>
  </conditionalFormatting>
  <conditionalFormatting sqref="Q11:S11">
    <cfRule type="cellIs" dxfId="0" priority="17" operator="equal">
      <formula>0</formula>
    </cfRule>
  </conditionalFormatting>
  <conditionalFormatting sqref="R12:S12">
    <cfRule type="expression" dxfId="7" priority="18">
      <formula>AND($N$12&lt;&gt;"",$R$12="")</formula>
    </cfRule>
  </conditionalFormatting>
  <conditionalFormatting sqref="R12:S12">
    <cfRule type="notContainsBlanks" dxfId="8" priority="19">
      <formula>LEN(TRIM(R12))&gt;0</formula>
    </cfRule>
  </conditionalFormatting>
  <conditionalFormatting sqref="T14:W14">
    <cfRule type="containsText" dxfId="9" priority="20" operator="containsText" text="Double">
      <formula>NOT(ISERROR(SEARCH(("Double"),(T14))))</formula>
    </cfRule>
  </conditionalFormatting>
  <conditionalFormatting sqref="Y12:Z12">
    <cfRule type="containsBlanks" dxfId="7" priority="21">
      <formula>LEN(TRIM(Y12))=0</formula>
    </cfRule>
  </conditionalFormatting>
  <conditionalFormatting sqref="Y12:Z12">
    <cfRule type="notContainsBlanks" dxfId="8" priority="22">
      <formula>LEN(TRIM(Y12))&gt;0</formula>
    </cfRule>
  </conditionalFormatting>
  <printOptions/>
  <pageMargins bottom="0.31496062992125984" footer="0.0" header="0.0" left="0.4330708661417323" right="0.4330708661417323" top="0.31496062992125984"/>
  <pageSetup fitToHeight="0" paperSize="9" orientation="landscape"/>
  <drawing r:id="rId1"/>
</worksheet>
</file>